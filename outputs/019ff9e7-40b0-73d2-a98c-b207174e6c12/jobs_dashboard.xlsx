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f68e9bf9638245e4" /></Relationships>
</file>

<file path=xl/workbook.xml><?xml version="1.0" encoding="utf-8"?>
<x:workbook xmlns:x="http://schemas.openxmlformats.org/spreadsheetml/2006/main">
  <x:sheets>
    <x:sheet xmlns:r="http://schemas.openxmlformats.org/officeDocument/2006/relationships" name="Applications" sheetId="1" r:id="R168c8e198589440c"/>
    <x:sheet xmlns:r="http://schemas.openxmlformats.org/officeDocument/2006/relationships" name="Dashboard" sheetId="2" r:id="R8226cc9fb5d44546"/>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164" formatCode="yyyy\-mm\-dd"/>
    <x:numFmt numFmtId="165" formatCode="yyyy\-mm\-dd\ hh:mm:ss"/>
    <x:numFmt numFmtId="166" formatCode="0.0"/>
    <x:numFmt numFmtId="167" formatCode="\$0.000000"/>
    <x:numFmt numFmtId="168" formatCode="\$0.0000"/>
    <x:numFmt numFmtId="200" formatCode="yyyy-mm-dd"/>
    <x:numFmt numFmtId="201" formatCode="yyyy-mm-dd hh:mm:ss"/>
    <x:numFmt numFmtId="202" formatCode="#,##0"/>
    <x:numFmt numFmtId="203" formatCode="$0.000000"/>
    <x:numFmt numFmtId="204" formatCode="$0.0000"/>
  </x:numFmts>
  <x:fonts count="17">
    <x:font>
      <x:sz val="10"/>
      <x:name val="Arial"/>
    </x:font>
    <x:font>
      <x:sz val="10"/>
      <x:name val="Arial"/>
    </x:font>
    <x:font>
      <x:sz val="10"/>
      <x:name val="Arial"/>
    </x:font>
    <x:font>
      <x:sz val="10"/>
      <x:name val="Arial"/>
    </x:font>
    <x:font>
      <x:sz val="11"/>
      <x:color theme="1"/>
      <x:name val="Calibri"/>
    </x:font>
    <x:font>
      <x:b/>
      <x:sz val="10"/>
      <x:color rgb="FFFFFFFF"/>
      <x:name val="Aptos Display"/>
    </x:font>
    <x:font>
      <x:sz val="10"/>
      <x:color rgb="FF24324A"/>
      <x:name val="Aptos"/>
    </x:font>
    <x:font>
      <x:b/>
      <x:sz val="22"/>
      <x:color rgb="FFFFFFFF"/>
      <x:name val="Aptos Display"/>
    </x:font>
    <x:font>
      <x:i/>
      <x:sz val="10"/>
      <x:color rgb="FFBFD5FF"/>
      <x:name val="Aptos"/>
    </x:font>
    <x:font>
      <x:sz val="10"/>
      <x:color rgb="FF26334D"/>
      <x:name val="Aptos"/>
    </x:font>
    <x:font>
      <x:b/>
      <x:sz val="9"/>
      <x:color rgb="FF52627D"/>
      <x:name val="Aptos"/>
    </x:font>
    <x:font>
      <x:b/>
      <x:sz val="20"/>
      <x:color rgb="FF15213A"/>
      <x:name val="Aptos"/>
    </x:font>
    <x:font>
      <x:b/>
      <x:sz val="10"/>
      <x:color rgb="FFFFFFFF"/>
      <x:name val="Aptos"/>
    </x:font>
    <x:font>
      <x:sz val="10"/>
      <x:color rgb="FF115E59"/>
      <x:name val="Aptos"/>
    </x:font>
    <x:font>
      <x:b/>
      <x:sz val="9"/>
      <x:color rgb="FF000000"/>
      <x:name val="Calibri"/>
    </x:font>
    <x:font>
      <x:sz val="10"/>
      <x:color rgb="FF000000"/>
      <x:name val="Calibri"/>
    </x:font>
    <x:font>
      <x:b/>
      <x:sz val="10"/>
      <x:color rgb="FF24324A"/>
      <x:name val="Aptos"/>
    </x:font>
  </x:fonts>
  <x:fills count="23">
    <x:fill>
      <x:patternFill patternType="none"/>
    </x:fill>
    <x:fill>
      <x:patternFill patternType="gray125"/>
    </x:fill>
    <x:fill>
      <x:patternFill patternType="solid">
        <x:fgColor rgb="FF17233C"/>
      </x:patternFill>
    </x:fill>
    <x:fill>
      <x:patternFill patternType="solid">
        <x:fgColor rgb="FF111C33"/>
      </x:patternFill>
    </x:fill>
    <x:fill>
      <x:patternFill patternType="solid">
        <x:fgColor rgb="FF1D2A46"/>
      </x:patternFill>
    </x:fill>
    <x:fill>
      <x:patternFill patternType="solid">
        <x:fgColor rgb="FFEAF0FA"/>
      </x:patternFill>
    </x:fill>
    <x:fill>
      <x:patternFill patternType="solid">
        <x:fgColor rgb="FFFFFFFF"/>
      </x:patternFill>
    </x:fill>
    <x:fill>
      <x:patternFill patternType="solid">
        <x:fgColor rgb="FF14B8A6"/>
      </x:patternFill>
    </x:fill>
    <x:fill>
      <x:patternFill patternType="solid">
        <x:fgColor rgb="FFECFDF5"/>
      </x:patternFill>
    </x:fill>
    <x:fill>
      <x:patternFill patternType="solid">
        <x:fgColor rgb="FF17233C"/>
      </x:patternFill>
    </x:fill>
    <x:fill>
      <x:patternFill patternType="solid">
        <x:fgColor rgb="FF111C33"/>
      </x:patternFill>
    </x:fill>
    <x:fill>
      <x:patternFill patternType="solid">
        <x:fgColor rgb="FF1D2A46"/>
      </x:patternFill>
    </x:fill>
    <x:fill>
      <x:patternFill patternType="solid">
        <x:fgColor rgb="FFEAF0FA"/>
      </x:patternFill>
    </x:fill>
    <x:fill>
      <x:patternFill patternType="solid">
        <x:fgColor rgb="FFFFFFFF"/>
      </x:patternFill>
    </x:fill>
    <x:fill>
      <x:patternFill patternType="solid">
        <x:fgColor rgb="FF14B8A6"/>
      </x:patternFill>
    </x:fill>
    <x:fill>
      <x:patternFill patternType="solid">
        <x:fgColor rgb="FFECFDF5"/>
      </x:patternFill>
    </x:fill>
    <x:fill>
      <x:patternFill patternType="solid">
        <x:fgColor rgb="FF17233C"/>
      </x:patternFill>
    </x:fill>
    <x:fill>
      <x:patternFill patternType="solid">
        <x:fgColor rgb="FF111C33"/>
      </x:patternFill>
    </x:fill>
    <x:fill>
      <x:patternFill patternType="solid">
        <x:fgColor rgb="FF1D2A46"/>
      </x:patternFill>
    </x:fill>
    <x:fill>
      <x:patternFill patternType="solid">
        <x:fgColor rgb="FFEAF0FA"/>
      </x:patternFill>
    </x:fill>
    <x:fill>
      <x:patternFill patternType="solid">
        <x:fgColor rgb="FFFFFFFF"/>
      </x:patternFill>
    </x:fill>
    <x:fill>
      <x:patternFill patternType="solid">
        <x:fgColor rgb="FF14B8A6"/>
      </x:patternFill>
    </x:fill>
    <x:fill>
      <x:patternFill patternType="solid">
        <x:fgColor rgb="FFECFDF5"/>
      </x:patternFill>
    </x:fill>
  </x:fills>
  <x:borders count="27">
    <x:border/>
    <x:border>
      <x:right style="thin">
        <x:color rgb="FF33415F"/>
      </x:right>
    </x:border>
    <x:border>
      <x:left style="thin">
        <x:color rgb="FF33415F"/>
      </x:left>
      <x:right style="thin">
        <x:color rgb="FF33415F"/>
      </x:right>
    </x:border>
    <x:border>
      <x:left style="thin">
        <x:color rgb="FFD5DEEC"/>
      </x:left>
      <x:right style="thin">
        <x:color rgb="FFD5DEEC"/>
      </x:right>
      <x:top style="thin">
        <x:color rgb="FFD5DEEC"/>
      </x:top>
      <x:bottom style="thin">
        <x:color rgb="FFD5DEEC"/>
      </x:bottom>
    </x:border>
    <x:border>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top style="thin">
        <x:color rgb="FFE2E8F0"/>
      </x:top>
    </x:border>
    <x:border>
      <x:left style="thin">
        <x:color rgb="FF99F6E4"/>
      </x:left>
      <x:right style="thin">
        <x:color rgb="FF99F6E4"/>
      </x:right>
      <x:top style="thin">
        <x:color rgb="FF99F6E4"/>
      </x:top>
      <x:bottom style="thin">
        <x:color rgb="FF99F6E4"/>
      </x:bottom>
    </x:border>
    <x:border>
      <x:top style="thin">
        <x:color rgb="FFD5DEEC"/>
      </x:top>
    </x:border>
    <x:border>
      <x:right style="thin">
        <x:color rgb="FFD5DEEC"/>
      </x:right>
      <x:top style="thin">
        <x:color rgb="FFD5DEEC"/>
      </x:top>
    </x:border>
    <x:border>
      <x:right style="thin">
        <x:color rgb="FFD5DEEC"/>
      </x:right>
      <x:top style="thin">
        <x:color rgb="FFD5DEEC"/>
      </x:top>
      <x:bottom style="thin">
        <x:color rgb="FFD5DEEC"/>
      </x:bottom>
    </x:border>
    <x:border>
      <x:left style="thin">
        <x:color rgb="FFD5DEEC"/>
      </x:left>
    </x:border>
    <x:border>
      <x:right style="thin">
        <x:color rgb="FFD5DEEC"/>
      </x:right>
    </x:border>
    <x:border>
      <x:left style="thin">
        <x:color rgb="FFD5DEEC"/>
      </x:left>
      <x:bottom style="thin">
        <x:color rgb="FFD5DEEC"/>
      </x:bottom>
    </x:border>
    <x:border>
      <x:right style="thin">
        <x:color rgb="FFD5DEEC"/>
      </x:right>
      <x:bottom style="thin">
        <x:color rgb="FFD5DEEC"/>
      </x:bottom>
    </x:border>
    <x:border>
      <x:top style="thin">
        <x:color rgb="FF99F6E4"/>
      </x:top>
    </x:border>
    <x:border>
      <x:left style="thin">
        <x:color rgb="FF99F6E4"/>
      </x:left>
    </x:border>
    <x:border>
      <x:right style="thin">
        <x:color rgb="FF99F6E4"/>
      </x:right>
      <x:top style="thin">
        <x:color rgb="FF99F6E4"/>
      </x:top>
    </x:border>
    <x:border>
      <x:right style="thin">
        <x:color rgb="FF99F6E4"/>
      </x:right>
    </x:border>
    <x:border>
      <x:left style="thin">
        <x:color rgb="FF99F6E4"/>
      </x:left>
      <x:bottom style="thin">
        <x:color rgb="FF99F6E4"/>
      </x:bottom>
    </x:border>
    <x:border>
      <x:right style="thin">
        <x:color rgb="FF99F6E4"/>
      </x:right>
      <x:bottom style="thin">
        <x:color rgb="FF99F6E4"/>
      </x:bottom>
    </x:border>
    <x:border>
      <x:left style="thin">
        <x:color rgb="FFD5DEEC"/>
      </x:left>
      <x:top style="thin">
        <x:color rgb="FFD5DEEC"/>
      </x:top>
      <x:bottom style="thin">
        <x:color rgb="FFD5DEEC"/>
      </x:bottom>
    </x:border>
    <x:border>
      <x:left style="thin">
        <x:color rgb="FFD5DEEC"/>
      </x:left>
      <x:top style="thin">
        <x:color rgb="FFD5DEEC"/>
      </x:top>
    </x:border>
    <x:border>
      <x:left style="thin">
        <x:color rgb="FF99F6E4"/>
      </x:left>
      <x:top style="thin">
        <x:color rgb="FF99F6E4"/>
      </x:top>
    </x:border>
  </x:borders>
  <x:cellStyleXfs count="21">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xf/>
    <x:xf/>
    <x:xf/>
    <x:xf/>
    <x:xf/>
    <x:xf/>
    <x:xf/>
    <x:xf/>
    <x:xf/>
    <x:xf/>
    <x:xf/>
    <x:xf/>
    <x:xf/>
    <x:xf/>
    <x:xf/>
  </x:cellStyleXfs>
  <x:cellXfs count="271">
    <x:xf numFmtId="0" fontId="0" fillId="0" borderId="0" xfId="0" applyAlignment="1">
      <x:alignment horizontal="general" vertical="bottom"/>
    </x:xf>
    <x:xf numFmtId="0" fontId="5" fillId="2" borderId="1" xfId="20" applyAlignment="1">
      <x:alignment horizontal="left" vertical="center" wrapText="1"/>
    </x:xf>
    <x:xf numFmtId="0" fontId="5" fillId="2" borderId="2" xfId="20" applyAlignment="1">
      <x:alignment horizontal="left" vertical="center" wrapText="1"/>
    </x:xf>
    <x:xf numFmtId="0" fontId="6" fillId="0" borderId="0" xfId="20" applyAlignment="1">
      <x:alignment horizontal="general" vertical="bottom"/>
    </x:xf>
    <x:xf numFmtId="164" fontId="6" fillId="0" borderId="0" xfId="20" applyAlignment="1">
      <x:alignment horizontal="general" vertical="bottom"/>
    </x:xf>
    <x:xf numFmtId="165" fontId="6" fillId="0" borderId="0" xfId="20" applyAlignment="1">
      <x:alignment horizontal="general" vertical="center"/>
    </x:xf>
    <x:xf numFmtId="166" fontId="6" fillId="0" borderId="0" xfId="20" applyAlignment="1">
      <x:alignment horizontal="general" vertical="bottom"/>
    </x:xf>
    <x:xf numFmtId="3" fontId="6" fillId="0" borderId="0" xfId="20" applyAlignment="1">
      <x:alignment horizontal="general" vertical="bottom"/>
    </x:xf>
    <x:xf numFmtId="167" fontId="6" fillId="0" borderId="0" xfId="20" applyAlignment="1">
      <x:alignment horizontal="general" vertical="bottom"/>
    </x:xf>
    <x:xf numFmtId="0" fontId="7" fillId="3" borderId="0" xfId="20" applyAlignment="1">
      <x:alignment horizontal="left" vertical="center"/>
    </x:xf>
    <x:xf numFmtId="0" fontId="8" fillId="4" borderId="0" xfId="20" applyAlignment="1">
      <x:alignment horizontal="general" vertical="center"/>
    </x:xf>
    <x:xf numFmtId="0" fontId="9" fillId="0" borderId="0" xfId="20" applyAlignment="1">
      <x:alignment horizontal="general" vertical="bottom"/>
    </x:xf>
    <x:xf numFmtId="0" fontId="10" fillId="5" borderId="3" xfId="20" applyAlignment="1">
      <x:alignment horizontal="left" vertical="center"/>
    </x:xf>
    <x:xf numFmtId="3" fontId="11" fillId="6" borderId="3" xfId="20" applyAlignment="1">
      <x:alignment horizontal="left" vertical="center"/>
    </x:xf>
    <x:xf numFmtId="168" fontId="11" fillId="6" borderId="3" xfId="20" applyAlignment="1">
      <x:alignment horizontal="left" vertical="center"/>
    </x:xf>
    <x:xf numFmtId="166" fontId="11" fillId="6" borderId="3" xfId="20" applyAlignment="1">
      <x:alignment horizontal="left" vertical="center"/>
    </x:xf>
    <x:xf numFmtId="0" fontId="12" fillId="2" borderId="4" xfId="20" applyAlignment="1">
      <x:alignment horizontal="general" vertical="bottom"/>
    </x:xf>
    <x:xf numFmtId="0" fontId="12" fillId="2" borderId="5" xfId="20" applyAlignment="1">
      <x:alignment horizontal="general" vertical="bottom"/>
    </x:xf>
    <x:xf numFmtId="0" fontId="9" fillId="0" borderId="6" xfId="20" applyAlignment="1">
      <x:alignment horizontal="general" vertical="bottom"/>
    </x:xf>
    <x:xf numFmtId="3" fontId="9" fillId="0" borderId="7" xfId="20" applyAlignment="1">
      <x:alignment horizontal="general" vertical="bottom"/>
    </x:xf>
    <x:xf numFmtId="0" fontId="9" fillId="0" borderId="8" xfId="20" applyAlignment="1">
      <x:alignment horizontal="general" vertical="bottom"/>
    </x:xf>
    <x:xf numFmtId="3" fontId="9" fillId="0" borderId="9" xfId="20" applyAlignment="1">
      <x:alignment horizontal="general" vertical="bottom"/>
    </x:xf>
    <x:xf numFmtId="0" fontId="12" fillId="7" borderId="0" xfId="20" applyAlignment="1">
      <x:alignment horizontal="general" vertical="bottom"/>
    </x:xf>
    <x:xf numFmtId="0" fontId="13" fillId="8" borderId="10" xfId="20" applyAlignment="1">
      <x:alignment horizontal="general" vertical="top" wrapText="1"/>
    </x:xf>
    <x:xf numFmtId="0" fontId="0" fillId="0" borderId="0" xfId="0" applyAlignment="1">
      <x:alignment horizontal="general" vertical="bottom"/>
    </x:xf>
    <x:xf numFmtId="0" fontId="0" fillId="0" borderId="0" xfId="0"/>
    <x:xf numFmtId="0" fontId="5" fillId="2" borderId="1" xfId="20" applyAlignment="1">
      <x:alignment horizontal="left" vertical="center" wrapText="1"/>
    </x:xf>
    <x:xf numFmtId="0" fontId="5" fillId="2" borderId="2" xfId="20" applyAlignment="1">
      <x:alignment horizontal="left" vertical="center" wrapText="1"/>
    </x:xf>
    <x:xf numFmtId="0" fontId="6" fillId="0" borderId="0" xfId="20" applyAlignment="1">
      <x:alignment horizontal="general" vertical="bottom"/>
    </x:xf>
    <x:xf numFmtId="164" fontId="6" fillId="0" borderId="0" xfId="20" applyAlignment="1">
      <x:alignment horizontal="general" vertical="bottom"/>
    </x:xf>
    <x:xf numFmtId="165" fontId="6" fillId="0" borderId="0" xfId="20" applyAlignment="1">
      <x:alignment horizontal="general" vertical="center"/>
    </x:xf>
    <x:xf numFmtId="166" fontId="6" fillId="0" borderId="0" xfId="20" applyAlignment="1">
      <x:alignment horizontal="general" vertical="bottom"/>
    </x:xf>
    <x:xf numFmtId="3" fontId="6" fillId="0" borderId="0" xfId="20" applyAlignment="1">
      <x:alignment horizontal="general" vertical="bottom"/>
    </x:xf>
    <x:xf numFmtId="167" fontId="6" fillId="0" borderId="0" xfId="20" applyAlignment="1">
      <x:alignment horizontal="general" vertical="bottom"/>
    </x:xf>
    <x:xf numFmtId="0" fontId="7" fillId="3" borderId="0" xfId="20" applyAlignment="1">
      <x:alignment horizontal="left" vertical="center"/>
    </x:xf>
    <x:xf numFmtId="0" fontId="8" fillId="4" borderId="0" xfId="20" applyAlignment="1">
      <x:alignment horizontal="general" vertical="center"/>
    </x:xf>
    <x:xf numFmtId="0" fontId="9" fillId="0" borderId="0" xfId="20" applyAlignment="1">
      <x:alignment horizontal="general" vertical="bottom"/>
    </x:xf>
    <x:xf numFmtId="0" fontId="10" fillId="5" borderId="3" xfId="20" applyAlignment="1">
      <x:alignment horizontal="left" vertical="center"/>
    </x:xf>
    <x:xf numFmtId="0" fontId="0" fillId="0" borderId="13" xfId="0"/>
    <x:xf numFmtId="3" fontId="11" fillId="6" borderId="3" xfId="20" applyAlignment="1">
      <x:alignment horizontal="left" vertical="center"/>
    </x:xf>
    <x:xf numFmtId="0" fontId="0" fillId="0" borderId="12" xfId="0"/>
    <x:xf numFmtId="0" fontId="0" fillId="0" borderId="16" xfId="0"/>
    <x:xf numFmtId="0" fontId="0" fillId="0" borderId="17" xfId="0"/>
    <x:xf numFmtId="168" fontId="11" fillId="6" borderId="3" xfId="20" applyAlignment="1">
      <x:alignment horizontal="left" vertical="center"/>
    </x:xf>
    <x:xf numFmtId="166" fontId="11" fillId="6" borderId="3" xfId="20" applyAlignment="1">
      <x:alignment horizontal="left" vertical="center"/>
    </x:xf>
    <x:xf numFmtId="0" fontId="12" fillId="2" borderId="4" xfId="20" applyAlignment="1">
      <x:alignment horizontal="general" vertical="bottom"/>
    </x:xf>
    <x:xf numFmtId="0" fontId="12" fillId="2" borderId="5" xfId="20" applyAlignment="1">
      <x:alignment horizontal="general" vertical="bottom"/>
    </x:xf>
    <x:xf numFmtId="0" fontId="9" fillId="0" borderId="6" xfId="20" applyAlignment="1">
      <x:alignment horizontal="general" vertical="bottom"/>
    </x:xf>
    <x:xf numFmtId="3" fontId="9" fillId="0" borderId="7" xfId="20" applyAlignment="1">
      <x:alignment horizontal="general" vertical="bottom"/>
    </x:xf>
    <x:xf numFmtId="0" fontId="9" fillId="0" borderId="8" xfId="20" applyAlignment="1">
      <x:alignment horizontal="general" vertical="bottom"/>
    </x:xf>
    <x:xf numFmtId="3" fontId="9" fillId="0" borderId="9" xfId="20" applyAlignment="1">
      <x:alignment horizontal="general" vertical="bottom"/>
    </x:xf>
    <x:xf numFmtId="0" fontId="12" fillId="7" borderId="0" xfId="20" applyAlignment="1">
      <x:alignment horizontal="general" vertical="bottom"/>
    </x:xf>
    <x:xf numFmtId="0" fontId="13" fillId="8" borderId="10" xfId="20" applyAlignment="1">
      <x:alignment horizontal="general" vertical="top" wrapText="1"/>
    </x:xf>
    <x:xf numFmtId="0" fontId="0" fillId="0" borderId="20" xfId="0"/>
    <x:xf numFmtId="0" fontId="0" fillId="0" borderId="19" xfId="0"/>
    <x:xf numFmtId="0" fontId="0" fillId="0" borderId="21" xfId="0"/>
    <x:xf numFmtId="0" fontId="0" fillId="0" borderId="22" xfId="0"/>
    <x:xf numFmtId="0" fontId="0" fillId="0" borderId="23" xfId="0"/>
    <x:xf numFmtId="0" fontId="16" fillId="2" borderId="1" xfId="0" applyNumberFormat="1" applyFont="1" applyFill="1" applyBorder="1" applyAlignment="1">
      <x:alignment horizontal="left" vertical="center" wrapText="1"/>
    </x:xf>
    <x:xf numFmtId="0" fontId="16" fillId="2" borderId="2" xfId="0" applyNumberFormat="1" applyFont="1" applyFill="1" applyBorder="1" applyAlignment="1">
      <x:alignment horizontal="left" vertical="center" wrapText="1"/>
    </x:xf>
    <x:xf numFmtId="0" fontId="6" fillId="0" borderId="0" xfId="0" applyNumberFormat="1" applyFont="1" applyFill="1" applyBorder="1" applyAlignment="1">
      <x:alignment horizontal="general" vertical="bottom"/>
    </x:xf>
    <x:xf numFmtId="164" fontId="6" fillId="0" borderId="0" xfId="0" applyNumberFormat="1" applyFont="1" applyFill="1" applyBorder="1" applyAlignment="1">
      <x:alignment horizontal="general" vertical="bottom"/>
    </x:xf>
    <x:xf numFmtId="165" fontId="6" fillId="0" borderId="0" xfId="0" applyNumberFormat="1" applyFont="1" applyFill="1" applyBorder="1" applyAlignment="1">
      <x:alignment horizontal="general" vertical="center"/>
    </x:xf>
    <x:xf numFmtId="166" fontId="6" fillId="0" borderId="0" xfId="0" applyNumberFormat="1" applyFont="1" applyFill="1" applyBorder="1" applyAlignment="1">
      <x:alignment horizontal="general" vertical="bottom"/>
    </x:xf>
    <x:xf numFmtId="3" fontId="6" fillId="0" borderId="0" xfId="0" applyNumberFormat="1" applyFont="1" applyFill="1" applyBorder="1" applyAlignment="1">
      <x:alignment horizontal="general" vertical="bottom"/>
    </x:xf>
    <x:xf numFmtId="167" fontId="6" fillId="0" borderId="0" xfId="0" applyNumberFormat="1" applyFont="1" applyFill="1" applyBorder="1" applyAlignment="1">
      <x:alignment horizontal="general" vertical="bottom"/>
    </x:xf>
    <x:xf numFmtId="0" fontId="16" fillId="2" borderId="1" xfId="0" applyNumberFormat="1" applyFont="1" applyFill="1" applyBorder="1" applyAlignment="1">
      <x:alignment horizontal="left" vertical="center" wrapText="0"/>
    </x:xf>
    <x:xf numFmtId="0" fontId="16" fillId="2" borderId="2" xfId="0" applyNumberFormat="1" applyFont="1" applyFill="1" applyBorder="1" applyAlignment="1">
      <x:alignment horizontal="left" vertical="center" wrapText="0"/>
    </x:xf>
    <x:xf numFmtId="0" fontId="6" fillId="0" borderId="0" xfId="0" applyNumberFormat="1" applyFont="1" applyFill="1" applyBorder="1" applyAlignment="1">
      <x:alignment horizontal="general" vertical="bottom" wrapText="0"/>
    </x:xf>
    <x:xf numFmtId="164" fontId="6" fillId="0" borderId="0" xfId="0" applyNumberFormat="1" applyFont="1" applyFill="1" applyBorder="1" applyAlignment="1">
      <x:alignment horizontal="general" vertical="bottom" wrapText="0"/>
    </x:xf>
    <x:xf numFmtId="165" fontId="6" fillId="0" borderId="0" xfId="0" applyNumberFormat="1" applyFont="1" applyFill="1" applyBorder="1" applyAlignment="1">
      <x:alignment horizontal="general" vertical="center" wrapText="0"/>
    </x:xf>
    <x:xf numFmtId="166" fontId="6" fillId="0" borderId="0" xfId="0" applyNumberFormat="1" applyFont="1" applyFill="1" applyBorder="1" applyAlignment="1">
      <x:alignment horizontal="general" vertical="bottom" wrapText="0"/>
    </x:xf>
    <x:xf numFmtId="3" fontId="6" fillId="0" borderId="0" xfId="0" applyNumberFormat="1" applyFont="1" applyFill="1" applyBorder="1" applyAlignment="1">
      <x:alignment horizontal="general" vertical="bottom" wrapText="0"/>
    </x:xf>
    <x:xf numFmtId="167" fontId="6" fillId="0" borderId="0" xfId="0" applyNumberFormat="1" applyFont="1" applyFill="1" applyBorder="1" applyAlignment="1">
      <x:alignment horizontal="general" vertical="bottom" wrapText="0"/>
    </x:xf>
    <x:xf numFmtId="0" fontId="16" fillId="9" borderId="1" xfId="0" applyNumberFormat="1" applyFont="1" applyFill="1" applyBorder="1" applyAlignment="1">
      <x:alignment horizontal="left" vertical="center" wrapText="0"/>
    </x:xf>
    <x:xf numFmtId="0" fontId="16" fillId="9" borderId="2" xfId="0" applyNumberFormat="1" applyFont="1" applyFill="1" applyBorder="1" applyAlignment="1">
      <x:alignment horizontal="left" vertical="center" wrapText="0"/>
    </x:xf>
    <x:xf numFmtId="0" fontId="6" fillId="9" borderId="0" xfId="0" applyNumberFormat="1" applyFont="1" applyFill="1" applyBorder="1" applyAlignment="1">
      <x:alignment horizontal="general" vertical="bottom" wrapText="0"/>
    </x:xf>
    <x:xf numFmtId="0" fontId="5" fillId="9" borderId="1" xfId="0" applyNumberFormat="1" applyFont="1" applyFill="1" applyBorder="1" applyAlignment="1">
      <x:alignment horizontal="left" vertical="center" wrapText="0"/>
    </x:xf>
    <x:xf numFmtId="0" fontId="5" fillId="9" borderId="2" xfId="0" applyNumberFormat="1" applyFont="1" applyFill="1" applyBorder="1" applyAlignment="1">
      <x:alignment horizontal="left" vertical="center" wrapText="0"/>
    </x:xf>
    <x:xf numFmtId="0" fontId="5" fillId="9" borderId="0" xfId="0" applyNumberFormat="1" applyFont="1" applyFill="1" applyBorder="1" applyAlignment="1">
      <x:alignment horizontal="general" vertical="bottom" wrapText="0"/>
    </x:xf>
    <x:xf numFmtId="0" fontId="5" fillId="9" borderId="2" xfId="0" applyNumberFormat="1" applyFont="1" applyFill="1" applyBorder="1" applyAlignment="1">
      <x:alignment horizontal="general" vertical="bottom" wrapText="0"/>
    </x:xf>
    <x:xf numFmtId="0" fontId="5" fillId="9" borderId="1" xfId="0" applyNumberFormat="1" applyFont="1" applyFill="1" applyBorder="1" applyAlignment="1">
      <x:alignment horizontal="left" vertical="center" wrapText="1"/>
    </x:xf>
    <x:xf numFmtId="0" fontId="5" fillId="9" borderId="2" xfId="0" applyNumberFormat="1" applyFont="1" applyFill="1" applyBorder="1" applyAlignment="1">
      <x:alignment horizontal="left" vertical="center" wrapText="1"/>
    </x:xf>
    <x:xf numFmtId="0" fontId="5" fillId="9" borderId="2" xfId="0" applyNumberFormat="1" applyFont="1" applyFill="1" applyBorder="1" applyAlignment="1">
      <x:alignment horizontal="general" vertical="bottom" wrapText="1"/>
    </x:xf>
    <x:xf numFmtId="0" fontId="5" fillId="9" borderId="2" xfId="0" applyNumberFormat="1" applyFont="1" applyFill="1" applyBorder="1" applyAlignment="1">
      <x:alignment horizontal="left" vertical="bottom" wrapText="1"/>
    </x:xf>
    <x:xf numFmtId="200" fontId="6" fillId="0" borderId="0" xfId="0" applyNumberFormat="1" applyFont="1" applyFill="1" applyBorder="1" applyAlignment="1">
      <x:alignment horizontal="general" vertical="bottom" wrapText="0"/>
    </x:xf>
    <x:xf numFmtId="201" fontId="6" fillId="0" borderId="0" xfId="0" applyNumberFormat="1" applyFont="1" applyFill="1" applyBorder="1" applyAlignment="1">
      <x:alignment horizontal="general" vertical="center" wrapText="0"/>
    </x:xf>
    <x:xf numFmtId="201" fontId="6" fillId="0" borderId="0" xfId="0" applyNumberFormat="1" applyFont="1" applyFill="1" applyBorder="1" applyAlignment="1">
      <x:alignment horizontal="general" vertical="bottom" wrapText="0"/>
    </x:xf>
    <x:xf numFmtId="202" fontId="6" fillId="0" borderId="0" xfId="0" applyNumberFormat="1" applyFont="1" applyFill="1" applyBorder="1" applyAlignment="1">
      <x:alignment horizontal="general" vertical="bottom" wrapText="0"/>
    </x:xf>
    <x:xf numFmtId="203" fontId="6" fillId="0" borderId="0" xfId="0" applyNumberFormat="1" applyFont="1" applyFill="1" applyBorder="1" applyAlignment="1">
      <x:alignment horizontal="general" vertical="bottom" wrapText="0"/>
    </x:xf>
    <x:xf numFmtId="0" fontId="9" fillId="0" borderId="0" xfId="0" applyNumberFormat="1" applyFont="1" applyFill="1" applyBorder="1" applyAlignment="1">
      <x:alignment horizontal="general" vertical="bottom"/>
    </x:xf>
    <x:xf numFmtId="0" fontId="9" fillId="10" borderId="0" xfId="0" applyNumberFormat="1" applyFont="1" applyFill="1" applyBorder="1" applyAlignment="1">
      <x:alignment horizontal="general" vertical="bottom"/>
    </x:xf>
    <x:xf numFmtId="0" fontId="7" fillId="10" borderId="0" xfId="0" applyNumberFormat="1" applyFont="1" applyFill="1" applyBorder="1" applyAlignment="1">
      <x:alignment horizontal="general" vertical="bottom"/>
    </x:xf>
    <x:xf numFmtId="0" fontId="7" fillId="10" borderId="0" xfId="0" applyNumberFormat="1" applyFont="1" applyFill="1" applyBorder="1" applyAlignment="1">
      <x:alignment horizontal="left" vertical="bottom"/>
    </x:xf>
    <x:xf numFmtId="0" fontId="7" fillId="10" borderId="0" xfId="0" applyNumberFormat="1" applyFont="1" applyFill="1" applyBorder="1" applyAlignment="1">
      <x:alignment horizontal="left" vertical="center"/>
    </x:xf>
    <x:xf numFmtId="0" fontId="9" fillId="11" borderId="0" xfId="0" applyNumberFormat="1" applyFont="1" applyFill="1" applyBorder="1" applyAlignment="1">
      <x:alignment horizontal="general" vertical="bottom"/>
    </x:xf>
    <x:xf numFmtId="0" fontId="8" fillId="11" borderId="0" xfId="0" applyNumberFormat="1" applyFont="1" applyFill="1" applyBorder="1" applyAlignment="1">
      <x:alignment horizontal="general" vertical="bottom"/>
    </x:xf>
    <x:xf numFmtId="0" fontId="8" fillId="11" borderId="0" xfId="0" applyNumberFormat="1" applyFont="1" applyFill="1" applyBorder="1" applyAlignment="1">
      <x:alignment horizontal="general" vertical="center"/>
    </x:xf>
    <x:xf numFmtId="0" fontId="9" fillId="12" borderId="0" xfId="0" applyNumberFormat="1" applyFont="1" applyFill="1" applyBorder="1" applyAlignment="1">
      <x:alignment horizontal="general" vertical="bottom"/>
    </x:xf>
    <x:xf numFmtId="0" fontId="10" fillId="12" borderId="0" xfId="0" applyNumberFormat="1" applyFont="1" applyFill="1" applyBorder="1" applyAlignment="1">
      <x:alignment horizontal="general" vertical="bottom"/>
    </x:xf>
    <x:xf numFmtId="0" fontId="10" fillId="12" borderId="24" xfId="0" applyNumberFormat="1" applyFont="1" applyFill="1" applyBorder="1" applyAlignment="1">
      <x:alignment horizontal="general" vertical="bottom"/>
    </x:xf>
    <x:xf numFmtId="0" fontId="10" fillId="12" borderId="13" xfId="0" applyNumberFormat="1" applyFont="1" applyFill="1" applyBorder="1" applyAlignment="1">
      <x:alignment horizontal="general" vertical="bottom"/>
    </x:xf>
    <x:xf numFmtId="0" fontId="10" fillId="12" borderId="24" xfId="0" applyNumberFormat="1" applyFont="1" applyFill="1" applyBorder="1" applyAlignment="1">
      <x:alignment horizontal="left" vertical="bottom"/>
    </x:xf>
    <x:xf numFmtId="0" fontId="10" fillId="12" borderId="13" xfId="0" applyNumberFormat="1" applyFont="1" applyFill="1" applyBorder="1" applyAlignment="1">
      <x:alignment horizontal="left" vertical="bottom"/>
    </x:xf>
    <x:xf numFmtId="0" fontId="10" fillId="12" borderId="24" xfId="0" applyNumberFormat="1" applyFont="1" applyFill="1" applyBorder="1" applyAlignment="1">
      <x:alignment horizontal="left" vertical="center"/>
    </x:xf>
    <x:xf numFmtId="0" fontId="10" fillId="12" borderId="13" xfId="0" applyNumberFormat="1" applyFont="1" applyFill="1" applyBorder="1" applyAlignment="1">
      <x:alignment horizontal="left" vertical="center"/>
    </x:xf>
    <x:xf numFmtId="0" fontId="9" fillId="13" borderId="0" xfId="0" applyNumberFormat="1" applyFont="1" applyFill="1" applyBorder="1" applyAlignment="1">
      <x:alignment horizontal="general" vertical="bottom"/>
    </x:xf>
    <x:xf numFmtId="0" fontId="11" fillId="13" borderId="0" xfId="0" applyNumberFormat="1" applyFont="1" applyFill="1" applyBorder="1" applyAlignment="1">
      <x:alignment horizontal="general" vertical="bottom"/>
    </x:xf>
    <x:xf numFmtId="0" fontId="11" fillId="13" borderId="25" xfId="0" applyNumberFormat="1" applyFont="1" applyFill="1" applyBorder="1" applyAlignment="1">
      <x:alignment horizontal="general" vertical="bottom"/>
    </x:xf>
    <x:xf numFmtId="0" fontId="11" fillId="13" borderId="12" xfId="0" applyNumberFormat="1" applyFont="1" applyFill="1" applyBorder="1" applyAlignment="1">
      <x:alignment horizontal="general" vertical="bottom"/>
    </x:xf>
    <x:xf numFmtId="0" fontId="11" fillId="13" borderId="16" xfId="0" applyNumberFormat="1" applyFont="1" applyFill="1" applyBorder="1" applyAlignment="1">
      <x:alignment horizontal="general" vertical="bottom"/>
    </x:xf>
    <x:xf numFmtId="0" fontId="11" fillId="13" borderId="17" xfId="0" applyNumberFormat="1" applyFont="1" applyFill="1" applyBorder="1" applyAlignment="1">
      <x:alignment horizontal="general" vertical="bottom"/>
    </x:xf>
    <x:xf numFmtId="202" fontId="11" fillId="13" borderId="25" xfId="0" applyNumberFormat="1" applyFont="1" applyFill="1" applyBorder="1" applyAlignment="1">
      <x:alignment horizontal="general" vertical="bottom"/>
    </x:xf>
    <x:xf numFmtId="202" fontId="11" fillId="13" borderId="12" xfId="0" applyNumberFormat="1" applyFont="1" applyFill="1" applyBorder="1" applyAlignment="1">
      <x:alignment horizontal="general" vertical="bottom"/>
    </x:xf>
    <x:xf numFmtId="202" fontId="11" fillId="13" borderId="16" xfId="0" applyNumberFormat="1" applyFont="1" applyFill="1" applyBorder="1" applyAlignment="1">
      <x:alignment horizontal="general" vertical="bottom"/>
    </x:xf>
    <x:xf numFmtId="202" fontId="11" fillId="13" borderId="17" xfId="0" applyNumberFormat="1" applyFont="1" applyFill="1" applyBorder="1" applyAlignment="1">
      <x:alignment horizontal="general" vertical="bottom"/>
    </x:xf>
    <x:xf numFmtId="202" fontId="11" fillId="13" borderId="25" xfId="0" applyNumberFormat="1" applyFont="1" applyFill="1" applyBorder="1" applyAlignment="1">
      <x:alignment horizontal="left" vertical="bottom"/>
    </x:xf>
    <x:xf numFmtId="202" fontId="11" fillId="13" borderId="12" xfId="0" applyNumberFormat="1" applyFont="1" applyFill="1" applyBorder="1" applyAlignment="1">
      <x:alignment horizontal="left" vertical="bottom"/>
    </x:xf>
    <x:xf numFmtId="202" fontId="11" fillId="13" borderId="16" xfId="0" applyNumberFormat="1" applyFont="1" applyFill="1" applyBorder="1" applyAlignment="1">
      <x:alignment horizontal="left" vertical="bottom"/>
    </x:xf>
    <x:xf numFmtId="202" fontId="11" fillId="13" borderId="17" xfId="0" applyNumberFormat="1" applyFont="1" applyFill="1" applyBorder="1" applyAlignment="1">
      <x:alignment horizontal="left" vertical="bottom"/>
    </x:xf>
    <x:xf numFmtId="202" fontId="11" fillId="13" borderId="25" xfId="0" applyNumberFormat="1" applyFont="1" applyFill="1" applyBorder="1" applyAlignment="1">
      <x:alignment horizontal="left" vertical="center"/>
    </x:xf>
    <x:xf numFmtId="202" fontId="11" fillId="13" borderId="12" xfId="0" applyNumberFormat="1" applyFont="1" applyFill="1" applyBorder="1" applyAlignment="1">
      <x:alignment horizontal="left" vertical="center"/>
    </x:xf>
    <x:xf numFmtId="202" fontId="11" fillId="13" borderId="16" xfId="0" applyNumberFormat="1" applyFont="1" applyFill="1" applyBorder="1" applyAlignment="1">
      <x:alignment horizontal="left" vertical="center"/>
    </x:xf>
    <x:xf numFmtId="202" fontId="11" fillId="13" borderId="17" xfId="0" applyNumberFormat="1" applyFont="1" applyFill="1" applyBorder="1" applyAlignment="1">
      <x:alignment horizontal="left" vertical="center"/>
    </x:xf>
    <x:xf numFmtId="204" fontId="11" fillId="13" borderId="25" xfId="0" applyNumberFormat="1" applyFont="1" applyFill="1" applyBorder="1" applyAlignment="1">
      <x:alignment horizontal="general" vertical="bottom"/>
    </x:xf>
    <x:xf numFmtId="204" fontId="11" fillId="13" borderId="12" xfId="0" applyNumberFormat="1" applyFont="1" applyFill="1" applyBorder="1" applyAlignment="1">
      <x:alignment horizontal="general" vertical="bottom"/>
    </x:xf>
    <x:xf numFmtId="204" fontId="11" fillId="13" borderId="16" xfId="0" applyNumberFormat="1" applyFont="1" applyFill="1" applyBorder="1" applyAlignment="1">
      <x:alignment horizontal="general" vertical="bottom"/>
    </x:xf>
    <x:xf numFmtId="204" fontId="11" fillId="13" borderId="17" xfId="0" applyNumberFormat="1" applyFont="1" applyFill="1" applyBorder="1" applyAlignment="1">
      <x:alignment horizontal="general" vertical="bottom"/>
    </x:xf>
    <x:xf numFmtId="204" fontId="11" fillId="13" borderId="25" xfId="0" applyNumberFormat="1" applyFont="1" applyFill="1" applyBorder="1" applyAlignment="1">
      <x:alignment horizontal="left" vertical="bottom"/>
    </x:xf>
    <x:xf numFmtId="204" fontId="11" fillId="13" borderId="12" xfId="0" applyNumberFormat="1" applyFont="1" applyFill="1" applyBorder="1" applyAlignment="1">
      <x:alignment horizontal="left" vertical="bottom"/>
    </x:xf>
    <x:xf numFmtId="204" fontId="11" fillId="13" borderId="16" xfId="0" applyNumberFormat="1" applyFont="1" applyFill="1" applyBorder="1" applyAlignment="1">
      <x:alignment horizontal="left" vertical="bottom"/>
    </x:xf>
    <x:xf numFmtId="204" fontId="11" fillId="13" borderId="17" xfId="0" applyNumberFormat="1" applyFont="1" applyFill="1" applyBorder="1" applyAlignment="1">
      <x:alignment horizontal="left" vertical="bottom"/>
    </x:xf>
    <x:xf numFmtId="204" fontId="11" fillId="13" borderId="25" xfId="0" applyNumberFormat="1" applyFont="1" applyFill="1" applyBorder="1" applyAlignment="1">
      <x:alignment horizontal="left" vertical="center"/>
    </x:xf>
    <x:xf numFmtId="204" fontId="11" fillId="13" borderId="12" xfId="0" applyNumberFormat="1" applyFont="1" applyFill="1" applyBorder="1" applyAlignment="1">
      <x:alignment horizontal="left" vertical="center"/>
    </x:xf>
    <x:xf numFmtId="204" fontId="11" fillId="13" borderId="16" xfId="0" applyNumberFormat="1" applyFont="1" applyFill="1" applyBorder="1" applyAlignment="1">
      <x:alignment horizontal="left" vertical="center"/>
    </x:xf>
    <x:xf numFmtId="204" fontId="11" fillId="13" borderId="17" xfId="0" applyNumberFormat="1" applyFont="1" applyFill="1" applyBorder="1" applyAlignment="1">
      <x:alignment horizontal="left" vertical="center"/>
    </x:xf>
    <x:xf numFmtId="166" fontId="11" fillId="13" borderId="25" xfId="0" applyNumberFormat="1" applyFont="1" applyFill="1" applyBorder="1" applyAlignment="1">
      <x:alignment horizontal="general" vertical="bottom"/>
    </x:xf>
    <x:xf numFmtId="166" fontId="11" fillId="13" borderId="12" xfId="0" applyNumberFormat="1" applyFont="1" applyFill="1" applyBorder="1" applyAlignment="1">
      <x:alignment horizontal="general" vertical="bottom"/>
    </x:xf>
    <x:xf numFmtId="166" fontId="11" fillId="13" borderId="16" xfId="0" applyNumberFormat="1" applyFont="1" applyFill="1" applyBorder="1" applyAlignment="1">
      <x:alignment horizontal="general" vertical="bottom"/>
    </x:xf>
    <x:xf numFmtId="166" fontId="11" fillId="13" borderId="17" xfId="0" applyNumberFormat="1" applyFont="1" applyFill="1" applyBorder="1" applyAlignment="1">
      <x:alignment horizontal="general" vertical="bottom"/>
    </x:xf>
    <x:xf numFmtId="166" fontId="11" fillId="13" borderId="25" xfId="0" applyNumberFormat="1" applyFont="1" applyFill="1" applyBorder="1" applyAlignment="1">
      <x:alignment horizontal="left" vertical="bottom"/>
    </x:xf>
    <x:xf numFmtId="166" fontId="11" fillId="13" borderId="12" xfId="0" applyNumberFormat="1" applyFont="1" applyFill="1" applyBorder="1" applyAlignment="1">
      <x:alignment horizontal="left" vertical="bottom"/>
    </x:xf>
    <x:xf numFmtId="166" fontId="11" fillId="13" borderId="16" xfId="0" applyNumberFormat="1" applyFont="1" applyFill="1" applyBorder="1" applyAlignment="1">
      <x:alignment horizontal="left" vertical="bottom"/>
    </x:xf>
    <x:xf numFmtId="166" fontId="11" fillId="13" borderId="17" xfId="0" applyNumberFormat="1" applyFont="1" applyFill="1" applyBorder="1" applyAlignment="1">
      <x:alignment horizontal="left" vertical="bottom"/>
    </x:xf>
    <x:xf numFmtId="166" fontId="11" fillId="13" borderId="25" xfId="0" applyNumberFormat="1" applyFont="1" applyFill="1" applyBorder="1" applyAlignment="1">
      <x:alignment horizontal="left" vertical="center"/>
    </x:xf>
    <x:xf numFmtId="166" fontId="11" fillId="13" borderId="12" xfId="0" applyNumberFormat="1" applyFont="1" applyFill="1" applyBorder="1" applyAlignment="1">
      <x:alignment horizontal="left" vertical="center"/>
    </x:xf>
    <x:xf numFmtId="166" fontId="11" fillId="13" borderId="16" xfId="0" applyNumberFormat="1" applyFont="1" applyFill="1" applyBorder="1" applyAlignment="1">
      <x:alignment horizontal="left" vertical="center"/>
    </x:xf>
    <x:xf numFmtId="166" fontId="11" fillId="13" borderId="17" xfId="0" applyNumberFormat="1" applyFont="1" applyFill="1" applyBorder="1" applyAlignment="1">
      <x:alignment horizontal="left" vertical="center"/>
    </x:xf>
    <x:xf numFmtId="0" fontId="9" fillId="0" borderId="4" xfId="0" applyNumberFormat="1" applyFont="1" applyFill="1" applyBorder="1" applyAlignment="1">
      <x:alignment horizontal="general" vertical="bottom"/>
    </x:xf>
    <x:xf numFmtId="0" fontId="9" fillId="0" borderId="5" xfId="0" applyNumberFormat="1" applyFont="1" applyFill="1" applyBorder="1" applyAlignment="1">
      <x:alignment horizontal="general" vertical="bottom"/>
    </x:xf>
    <x:xf numFmtId="0" fontId="9" fillId="0" borderId="6" xfId="0" applyNumberFormat="1" applyFont="1" applyFill="1" applyBorder="1" applyAlignment="1">
      <x:alignment horizontal="general" vertical="bottom"/>
    </x:xf>
    <x:xf numFmtId="0" fontId="9" fillId="0" borderId="7" xfId="0" applyNumberFormat="1" applyFont="1" applyFill="1" applyBorder="1" applyAlignment="1">
      <x:alignment horizontal="general" vertical="bottom"/>
    </x:xf>
    <x:xf numFmtId="0" fontId="9" fillId="0" borderId="8" xfId="0" applyNumberFormat="1" applyFont="1" applyFill="1" applyBorder="1" applyAlignment="1">
      <x:alignment horizontal="general" vertical="bottom"/>
    </x:xf>
    <x:xf numFmtId="0" fontId="9" fillId="0" borderId="9" xfId="0" applyNumberFormat="1" applyFont="1" applyFill="1" applyBorder="1" applyAlignment="1">
      <x:alignment horizontal="general" vertical="bottom"/>
    </x:xf>
    <x:xf numFmtId="0" fontId="9" fillId="9" borderId="4" xfId="0" applyNumberFormat="1" applyFont="1" applyFill="1" applyBorder="1" applyAlignment="1">
      <x:alignment horizontal="general" vertical="bottom"/>
    </x:xf>
    <x:xf numFmtId="0" fontId="9" fillId="9" borderId="5" xfId="0" applyNumberFormat="1" applyFont="1" applyFill="1" applyBorder="1" applyAlignment="1">
      <x:alignment horizontal="general" vertical="bottom"/>
    </x:xf>
    <x:xf numFmtId="0" fontId="12" fillId="9" borderId="4" xfId="0" applyNumberFormat="1" applyFont="1" applyFill="1" applyBorder="1" applyAlignment="1">
      <x:alignment horizontal="general" vertical="bottom"/>
    </x:xf>
    <x:xf numFmtId="0" fontId="12" fillId="9" borderId="5" xfId="0" applyNumberFormat="1" applyFont="1" applyFill="1" applyBorder="1" applyAlignment="1">
      <x:alignment horizontal="general" vertical="bottom"/>
    </x:xf>
    <x:xf numFmtId="202" fontId="9" fillId="0" borderId="7" xfId="0" applyNumberFormat="1" applyFont="1" applyFill="1" applyBorder="1" applyAlignment="1">
      <x:alignment horizontal="general" vertical="bottom"/>
    </x:xf>
    <x:xf numFmtId="202" fontId="9" fillId="0" borderId="9" xfId="0" applyNumberFormat="1" applyFont="1" applyFill="1" applyBorder="1" applyAlignment="1">
      <x:alignment horizontal="general" vertical="bottom"/>
    </x:xf>
    <x:xf numFmtId="0" fontId="9" fillId="14" borderId="0" xfId="0" applyNumberFormat="1" applyFont="1" applyFill="1" applyBorder="1" applyAlignment="1">
      <x:alignment horizontal="general" vertical="bottom"/>
    </x:xf>
    <x:xf numFmtId="0" fontId="12" fillId="14" borderId="0" xfId="0" applyNumberFormat="1" applyFont="1" applyFill="1" applyBorder="1" applyAlignment="1">
      <x:alignment horizontal="general" vertical="bottom"/>
    </x:xf>
    <x:xf numFmtId="0" fontId="9" fillId="15" borderId="0" xfId="0" applyNumberFormat="1" applyFont="1" applyFill="1" applyBorder="1" applyAlignment="1">
      <x:alignment horizontal="general" vertical="bottom"/>
    </x:xf>
    <x:xf numFmtId="0" fontId="13" fillId="15" borderId="0" xfId="0" applyNumberFormat="1" applyFont="1" applyFill="1" applyBorder="1" applyAlignment="1">
      <x:alignment horizontal="general" vertical="bottom"/>
    </x:xf>
    <x:xf numFmtId="0" fontId="13" fillId="15" borderId="26" xfId="0" applyNumberFormat="1" applyFont="1" applyFill="1" applyBorder="1" applyAlignment="1">
      <x:alignment horizontal="general" vertical="bottom"/>
    </x:xf>
    <x:xf numFmtId="0" fontId="13" fillId="15" borderId="20" xfId="0" applyNumberFormat="1" applyFont="1" applyFill="1" applyBorder="1" applyAlignment="1">
      <x:alignment horizontal="general" vertical="bottom"/>
    </x:xf>
    <x:xf numFmtId="0" fontId="13" fillId="15" borderId="19" xfId="0" applyNumberFormat="1" applyFont="1" applyFill="1" applyBorder="1" applyAlignment="1">
      <x:alignment horizontal="general" vertical="bottom"/>
    </x:xf>
    <x:xf numFmtId="0" fontId="13" fillId="15" borderId="21" xfId="0" applyNumberFormat="1" applyFont="1" applyFill="1" applyBorder="1" applyAlignment="1">
      <x:alignment horizontal="general" vertical="bottom"/>
    </x:xf>
    <x:xf numFmtId="0" fontId="13" fillId="15" borderId="22" xfId="0" applyNumberFormat="1" applyFont="1" applyFill="1" applyBorder="1" applyAlignment="1">
      <x:alignment horizontal="general" vertical="bottom"/>
    </x:xf>
    <x:xf numFmtId="0" fontId="13" fillId="15" borderId="23" xfId="0" applyNumberFormat="1" applyFont="1" applyFill="1" applyBorder="1" applyAlignment="1">
      <x:alignment horizontal="general" vertical="bottom"/>
    </x:xf>
    <x:xf numFmtId="0" fontId="13" fillId="15" borderId="26" xfId="0" applyNumberFormat="1" applyFont="1" applyFill="1" applyBorder="1" applyAlignment="1">
      <x:alignment horizontal="general" vertical="bottom" wrapText="1"/>
    </x:xf>
    <x:xf numFmtId="0" fontId="13" fillId="15" borderId="20" xfId="0" applyNumberFormat="1" applyFont="1" applyFill="1" applyBorder="1" applyAlignment="1">
      <x:alignment horizontal="general" vertical="bottom" wrapText="1"/>
    </x:xf>
    <x:xf numFmtId="0" fontId="13" fillId="15" borderId="19" xfId="0" applyNumberFormat="1" applyFont="1" applyFill="1" applyBorder="1" applyAlignment="1">
      <x:alignment horizontal="general" vertical="bottom" wrapText="1"/>
    </x:xf>
    <x:xf numFmtId="0" fontId="13" fillId="15" borderId="21" xfId="0" applyNumberFormat="1" applyFont="1" applyFill="1" applyBorder="1" applyAlignment="1">
      <x:alignment horizontal="general" vertical="bottom" wrapText="1"/>
    </x:xf>
    <x:xf numFmtId="0" fontId="13" fillId="15" borderId="22" xfId="0" applyNumberFormat="1" applyFont="1" applyFill="1" applyBorder="1" applyAlignment="1">
      <x:alignment horizontal="general" vertical="bottom" wrapText="1"/>
    </x:xf>
    <x:xf numFmtId="0" fontId="13" fillId="15" borderId="23" xfId="0" applyNumberFormat="1" applyFont="1" applyFill="1" applyBorder="1" applyAlignment="1">
      <x:alignment horizontal="general" vertical="bottom" wrapText="1"/>
    </x:xf>
    <x:xf numFmtId="0" fontId="13" fillId="15" borderId="26" xfId="0" applyNumberFormat="1" applyFont="1" applyFill="1" applyBorder="1" applyAlignment="1">
      <x:alignment horizontal="general" vertical="top" wrapText="1"/>
    </x:xf>
    <x:xf numFmtId="0" fontId="13" fillId="15" borderId="20" xfId="0" applyNumberFormat="1" applyFont="1" applyFill="1" applyBorder="1" applyAlignment="1">
      <x:alignment horizontal="general" vertical="top" wrapText="1"/>
    </x:xf>
    <x:xf numFmtId="0" fontId="13" fillId="15" borderId="19" xfId="0" applyNumberFormat="1" applyFont="1" applyFill="1" applyBorder="1" applyAlignment="1">
      <x:alignment horizontal="general" vertical="top" wrapText="1"/>
    </x:xf>
    <x:xf numFmtId="0" fontId="13" fillId="15" borderId="21" xfId="0" applyNumberFormat="1" applyFont="1" applyFill="1" applyBorder="1" applyAlignment="1">
      <x:alignment horizontal="general" vertical="top" wrapText="1"/>
    </x:xf>
    <x:xf numFmtId="0" fontId="13" fillId="15" borderId="22" xfId="0" applyNumberFormat="1" applyFont="1" applyFill="1" applyBorder="1" applyAlignment="1">
      <x:alignment horizontal="general" vertical="top" wrapText="1"/>
    </x:xf>
    <x:xf numFmtId="0" fontId="13" fillId="15" borderId="23" xfId="0" applyNumberFormat="1" applyFont="1" applyFill="1" applyBorder="1" applyAlignment="1">
      <x:alignment horizontal="general" vertical="top" wrapText="1"/>
    </x:xf>
    <x:xf numFmtId="0" fontId="16" fillId="16" borderId="1" xfId="0" applyNumberFormat="1" applyFont="1" applyFill="1" applyBorder="1" applyAlignment="1">
      <x:alignment horizontal="left" vertical="center" wrapText="0"/>
    </x:xf>
    <x:xf numFmtId="0" fontId="16" fillId="16" borderId="2" xfId="0" applyNumberFormat="1" applyFont="1" applyFill="1" applyBorder="1" applyAlignment="1">
      <x:alignment horizontal="left" vertical="center" wrapText="0"/>
    </x:xf>
    <x:xf numFmtId="0" fontId="5" fillId="16" borderId="1" xfId="0" applyNumberFormat="1" applyFont="1" applyFill="1" applyBorder="1" applyAlignment="1">
      <x:alignment horizontal="left" vertical="center" wrapText="0"/>
    </x:xf>
    <x:xf numFmtId="0" fontId="5" fillId="16" borderId="2" xfId="0" applyNumberFormat="1" applyFont="1" applyFill="1" applyBorder="1" applyAlignment="1">
      <x:alignment horizontal="left" vertical="center" wrapText="0"/>
    </x:xf>
    <x:xf numFmtId="0" fontId="5" fillId="16" borderId="1" xfId="0" applyNumberFormat="1" applyFont="1" applyFill="1" applyBorder="1" applyAlignment="1">
      <x:alignment horizontal="left" vertical="center" wrapText="1"/>
    </x:xf>
    <x:xf numFmtId="0" fontId="5" fillId="16" borderId="2" xfId="0" applyNumberFormat="1" applyFont="1" applyFill="1" applyBorder="1" applyAlignment="1">
      <x:alignment horizontal="left" vertical="center" wrapText="1"/>
    </x:xf>
    <x:xf numFmtId="0" fontId="9" fillId="17" borderId="0" xfId="0" applyNumberFormat="1" applyFont="1" applyFill="1" applyBorder="1" applyAlignment="1">
      <x:alignment horizontal="general" vertical="bottom"/>
    </x:xf>
    <x:xf numFmtId="0" fontId="7" fillId="17" borderId="0" xfId="0" applyNumberFormat="1" applyFont="1" applyFill="1" applyBorder="1" applyAlignment="1">
      <x:alignment horizontal="general" vertical="bottom"/>
    </x:xf>
    <x:xf numFmtId="0" fontId="7" fillId="17" borderId="0" xfId="0" applyNumberFormat="1" applyFont="1" applyFill="1" applyBorder="1" applyAlignment="1">
      <x:alignment horizontal="left" vertical="bottom"/>
    </x:xf>
    <x:xf numFmtId="0" fontId="7" fillId="17" borderId="0" xfId="0" applyNumberFormat="1" applyFont="1" applyFill="1" applyBorder="1" applyAlignment="1">
      <x:alignment horizontal="left" vertical="center"/>
    </x:xf>
    <x:xf numFmtId="0" fontId="9" fillId="18" borderId="0" xfId="0" applyNumberFormat="1" applyFont="1" applyFill="1" applyBorder="1" applyAlignment="1">
      <x:alignment horizontal="general" vertical="bottom"/>
    </x:xf>
    <x:xf numFmtId="0" fontId="8" fillId="18" borderId="0" xfId="0" applyNumberFormat="1" applyFont="1" applyFill="1" applyBorder="1" applyAlignment="1">
      <x:alignment horizontal="general" vertical="bottom"/>
    </x:xf>
    <x:xf numFmtId="0" fontId="8" fillId="18" borderId="0" xfId="0" applyNumberFormat="1" applyFont="1" applyFill="1" applyBorder="1" applyAlignment="1">
      <x:alignment horizontal="general" vertical="center"/>
    </x:xf>
    <x:xf numFmtId="0" fontId="9" fillId="19" borderId="0" xfId="0" applyNumberFormat="1" applyFont="1" applyFill="1" applyBorder="1" applyAlignment="1">
      <x:alignment horizontal="general" vertical="bottom"/>
    </x:xf>
    <x:xf numFmtId="0" fontId="10" fillId="19" borderId="0" xfId="0" applyNumberFormat="1" applyFont="1" applyFill="1" applyBorder="1" applyAlignment="1">
      <x:alignment horizontal="general" vertical="bottom"/>
    </x:xf>
    <x:xf numFmtId="0" fontId="10" fillId="19" borderId="24" xfId="0" applyNumberFormat="1" applyFont="1" applyFill="1" applyBorder="1" applyAlignment="1">
      <x:alignment horizontal="general" vertical="bottom"/>
    </x:xf>
    <x:xf numFmtId="0" fontId="10" fillId="19" borderId="13" xfId="0" applyNumberFormat="1" applyFont="1" applyFill="1" applyBorder="1" applyAlignment="1">
      <x:alignment horizontal="general" vertical="bottom"/>
    </x:xf>
    <x:xf numFmtId="0" fontId="10" fillId="19" borderId="24" xfId="0" applyNumberFormat="1" applyFont="1" applyFill="1" applyBorder="1" applyAlignment="1">
      <x:alignment horizontal="left" vertical="bottom"/>
    </x:xf>
    <x:xf numFmtId="0" fontId="10" fillId="19" borderId="13" xfId="0" applyNumberFormat="1" applyFont="1" applyFill="1" applyBorder="1" applyAlignment="1">
      <x:alignment horizontal="left" vertical="bottom"/>
    </x:xf>
    <x:xf numFmtId="0" fontId="10" fillId="19" borderId="24" xfId="0" applyNumberFormat="1" applyFont="1" applyFill="1" applyBorder="1" applyAlignment="1">
      <x:alignment horizontal="left" vertical="center"/>
    </x:xf>
    <x:xf numFmtId="0" fontId="10" fillId="19" borderId="13" xfId="0" applyNumberFormat="1" applyFont="1" applyFill="1" applyBorder="1" applyAlignment="1">
      <x:alignment horizontal="left" vertical="center"/>
    </x:xf>
    <x:xf numFmtId="0" fontId="9" fillId="20" borderId="0" xfId="0" applyNumberFormat="1" applyFont="1" applyFill="1" applyBorder="1" applyAlignment="1">
      <x:alignment horizontal="general" vertical="bottom"/>
    </x:xf>
    <x:xf numFmtId="0" fontId="11" fillId="20" borderId="0" xfId="0" applyNumberFormat="1" applyFont="1" applyFill="1" applyBorder="1" applyAlignment="1">
      <x:alignment horizontal="general" vertical="bottom"/>
    </x:xf>
    <x:xf numFmtId="0" fontId="11" fillId="20" borderId="25" xfId="0" applyNumberFormat="1" applyFont="1" applyFill="1" applyBorder="1" applyAlignment="1">
      <x:alignment horizontal="general" vertical="bottom"/>
    </x:xf>
    <x:xf numFmtId="0" fontId="11" fillId="20" borderId="12" xfId="0" applyNumberFormat="1" applyFont="1" applyFill="1" applyBorder="1" applyAlignment="1">
      <x:alignment horizontal="general" vertical="bottom"/>
    </x:xf>
    <x:xf numFmtId="0" fontId="11" fillId="20" borderId="16" xfId="0" applyNumberFormat="1" applyFont="1" applyFill="1" applyBorder="1" applyAlignment="1">
      <x:alignment horizontal="general" vertical="bottom"/>
    </x:xf>
    <x:xf numFmtId="0" fontId="11" fillId="20" borderId="17" xfId="0" applyNumberFormat="1" applyFont="1" applyFill="1" applyBorder="1" applyAlignment="1">
      <x:alignment horizontal="general" vertical="bottom"/>
    </x:xf>
    <x:xf numFmtId="202" fontId="11" fillId="20" borderId="25" xfId="0" applyNumberFormat="1" applyFont="1" applyFill="1" applyBorder="1" applyAlignment="1">
      <x:alignment horizontal="general" vertical="bottom"/>
    </x:xf>
    <x:xf numFmtId="202" fontId="11" fillId="20" borderId="12" xfId="0" applyNumberFormat="1" applyFont="1" applyFill="1" applyBorder="1" applyAlignment="1">
      <x:alignment horizontal="general" vertical="bottom"/>
    </x:xf>
    <x:xf numFmtId="202" fontId="11" fillId="20" borderId="16" xfId="0" applyNumberFormat="1" applyFont="1" applyFill="1" applyBorder="1" applyAlignment="1">
      <x:alignment horizontal="general" vertical="bottom"/>
    </x:xf>
    <x:xf numFmtId="202" fontId="11" fillId="20" borderId="17" xfId="0" applyNumberFormat="1" applyFont="1" applyFill="1" applyBorder="1" applyAlignment="1">
      <x:alignment horizontal="general" vertical="bottom"/>
    </x:xf>
    <x:xf numFmtId="202" fontId="11" fillId="20" borderId="25" xfId="0" applyNumberFormat="1" applyFont="1" applyFill="1" applyBorder="1" applyAlignment="1">
      <x:alignment horizontal="left" vertical="bottom"/>
    </x:xf>
    <x:xf numFmtId="202" fontId="11" fillId="20" borderId="12" xfId="0" applyNumberFormat="1" applyFont="1" applyFill="1" applyBorder="1" applyAlignment="1">
      <x:alignment horizontal="left" vertical="bottom"/>
    </x:xf>
    <x:xf numFmtId="202" fontId="11" fillId="20" borderId="16" xfId="0" applyNumberFormat="1" applyFont="1" applyFill="1" applyBorder="1" applyAlignment="1">
      <x:alignment horizontal="left" vertical="bottom"/>
    </x:xf>
    <x:xf numFmtId="202" fontId="11" fillId="20" borderId="17" xfId="0" applyNumberFormat="1" applyFont="1" applyFill="1" applyBorder="1" applyAlignment="1">
      <x:alignment horizontal="left" vertical="bottom"/>
    </x:xf>
    <x:xf numFmtId="202" fontId="11" fillId="20" borderId="25" xfId="0" applyNumberFormat="1" applyFont="1" applyFill="1" applyBorder="1" applyAlignment="1">
      <x:alignment horizontal="left" vertical="center"/>
    </x:xf>
    <x:xf numFmtId="202" fontId="11" fillId="20" borderId="12" xfId="0" applyNumberFormat="1" applyFont="1" applyFill="1" applyBorder="1" applyAlignment="1">
      <x:alignment horizontal="left" vertical="center"/>
    </x:xf>
    <x:xf numFmtId="202" fontId="11" fillId="20" borderId="16" xfId="0" applyNumberFormat="1" applyFont="1" applyFill="1" applyBorder="1" applyAlignment="1">
      <x:alignment horizontal="left" vertical="center"/>
    </x:xf>
    <x:xf numFmtId="202" fontId="11" fillId="20" borderId="17" xfId="0" applyNumberFormat="1" applyFont="1" applyFill="1" applyBorder="1" applyAlignment="1">
      <x:alignment horizontal="left" vertical="center"/>
    </x:xf>
    <x:xf numFmtId="204" fontId="11" fillId="20" borderId="25" xfId="0" applyNumberFormat="1" applyFont="1" applyFill="1" applyBorder="1" applyAlignment="1">
      <x:alignment horizontal="general" vertical="bottom"/>
    </x:xf>
    <x:xf numFmtId="204" fontId="11" fillId="20" borderId="12" xfId="0" applyNumberFormat="1" applyFont="1" applyFill="1" applyBorder="1" applyAlignment="1">
      <x:alignment horizontal="general" vertical="bottom"/>
    </x:xf>
    <x:xf numFmtId="204" fontId="11" fillId="20" borderId="16" xfId="0" applyNumberFormat="1" applyFont="1" applyFill="1" applyBorder="1" applyAlignment="1">
      <x:alignment horizontal="general" vertical="bottom"/>
    </x:xf>
    <x:xf numFmtId="204" fontId="11" fillId="20" borderId="17" xfId="0" applyNumberFormat="1" applyFont="1" applyFill="1" applyBorder="1" applyAlignment="1">
      <x:alignment horizontal="general" vertical="bottom"/>
    </x:xf>
    <x:xf numFmtId="204" fontId="11" fillId="20" borderId="25" xfId="0" applyNumberFormat="1" applyFont="1" applyFill="1" applyBorder="1" applyAlignment="1">
      <x:alignment horizontal="left" vertical="bottom"/>
    </x:xf>
    <x:xf numFmtId="204" fontId="11" fillId="20" borderId="12" xfId="0" applyNumberFormat="1" applyFont="1" applyFill="1" applyBorder="1" applyAlignment="1">
      <x:alignment horizontal="left" vertical="bottom"/>
    </x:xf>
    <x:xf numFmtId="204" fontId="11" fillId="20" borderId="16" xfId="0" applyNumberFormat="1" applyFont="1" applyFill="1" applyBorder="1" applyAlignment="1">
      <x:alignment horizontal="left" vertical="bottom"/>
    </x:xf>
    <x:xf numFmtId="204" fontId="11" fillId="20" borderId="17" xfId="0" applyNumberFormat="1" applyFont="1" applyFill="1" applyBorder="1" applyAlignment="1">
      <x:alignment horizontal="left" vertical="bottom"/>
    </x:xf>
    <x:xf numFmtId="204" fontId="11" fillId="20" borderId="25" xfId="0" applyNumberFormat="1" applyFont="1" applyFill="1" applyBorder="1" applyAlignment="1">
      <x:alignment horizontal="left" vertical="center"/>
    </x:xf>
    <x:xf numFmtId="204" fontId="11" fillId="20" borderId="12" xfId="0" applyNumberFormat="1" applyFont="1" applyFill="1" applyBorder="1" applyAlignment="1">
      <x:alignment horizontal="left" vertical="center"/>
    </x:xf>
    <x:xf numFmtId="204" fontId="11" fillId="20" borderId="16" xfId="0" applyNumberFormat="1" applyFont="1" applyFill="1" applyBorder="1" applyAlignment="1">
      <x:alignment horizontal="left" vertical="center"/>
    </x:xf>
    <x:xf numFmtId="204" fontId="11" fillId="20" borderId="17" xfId="0" applyNumberFormat="1" applyFont="1" applyFill="1" applyBorder="1" applyAlignment="1">
      <x:alignment horizontal="left" vertical="center"/>
    </x:xf>
    <x:xf numFmtId="166" fontId="11" fillId="20" borderId="25" xfId="0" applyNumberFormat="1" applyFont="1" applyFill="1" applyBorder="1" applyAlignment="1">
      <x:alignment horizontal="general" vertical="bottom"/>
    </x:xf>
    <x:xf numFmtId="166" fontId="11" fillId="20" borderId="12" xfId="0" applyNumberFormat="1" applyFont="1" applyFill="1" applyBorder="1" applyAlignment="1">
      <x:alignment horizontal="general" vertical="bottom"/>
    </x:xf>
    <x:xf numFmtId="166" fontId="11" fillId="20" borderId="16" xfId="0" applyNumberFormat="1" applyFont="1" applyFill="1" applyBorder="1" applyAlignment="1">
      <x:alignment horizontal="general" vertical="bottom"/>
    </x:xf>
    <x:xf numFmtId="166" fontId="11" fillId="20" borderId="17" xfId="0" applyNumberFormat="1" applyFont="1" applyFill="1" applyBorder="1" applyAlignment="1">
      <x:alignment horizontal="general" vertical="bottom"/>
    </x:xf>
    <x:xf numFmtId="166" fontId="11" fillId="20" borderId="25" xfId="0" applyNumberFormat="1" applyFont="1" applyFill="1" applyBorder="1" applyAlignment="1">
      <x:alignment horizontal="left" vertical="bottom"/>
    </x:xf>
    <x:xf numFmtId="166" fontId="11" fillId="20" borderId="12" xfId="0" applyNumberFormat="1" applyFont="1" applyFill="1" applyBorder="1" applyAlignment="1">
      <x:alignment horizontal="left" vertical="bottom"/>
    </x:xf>
    <x:xf numFmtId="166" fontId="11" fillId="20" borderId="16" xfId="0" applyNumberFormat="1" applyFont="1" applyFill="1" applyBorder="1" applyAlignment="1">
      <x:alignment horizontal="left" vertical="bottom"/>
    </x:xf>
    <x:xf numFmtId="166" fontId="11" fillId="20" borderId="17" xfId="0" applyNumberFormat="1" applyFont="1" applyFill="1" applyBorder="1" applyAlignment="1">
      <x:alignment horizontal="left" vertical="bottom"/>
    </x:xf>
    <x:xf numFmtId="166" fontId="11" fillId="20" borderId="25" xfId="0" applyNumberFormat="1" applyFont="1" applyFill="1" applyBorder="1" applyAlignment="1">
      <x:alignment horizontal="left" vertical="center"/>
    </x:xf>
    <x:xf numFmtId="166" fontId="11" fillId="20" borderId="12" xfId="0" applyNumberFormat="1" applyFont="1" applyFill="1" applyBorder="1" applyAlignment="1">
      <x:alignment horizontal="left" vertical="center"/>
    </x:xf>
    <x:xf numFmtId="166" fontId="11" fillId="20" borderId="16" xfId="0" applyNumberFormat="1" applyFont="1" applyFill="1" applyBorder="1" applyAlignment="1">
      <x:alignment horizontal="left" vertical="center"/>
    </x:xf>
    <x:xf numFmtId="166" fontId="11" fillId="20" borderId="17" xfId="0" applyNumberFormat="1" applyFont="1" applyFill="1" applyBorder="1" applyAlignment="1">
      <x:alignment horizontal="left" vertical="center"/>
    </x:xf>
    <x:xf numFmtId="0" fontId="9" fillId="16" borderId="4" xfId="0" applyNumberFormat="1" applyFont="1" applyFill="1" applyBorder="1" applyAlignment="1">
      <x:alignment horizontal="general" vertical="bottom"/>
    </x:xf>
    <x:xf numFmtId="0" fontId="9" fillId="16" borderId="5" xfId="0" applyNumberFormat="1" applyFont="1" applyFill="1" applyBorder="1" applyAlignment="1">
      <x:alignment horizontal="general" vertical="bottom"/>
    </x:xf>
    <x:xf numFmtId="0" fontId="12" fillId="16" borderId="4" xfId="0" applyNumberFormat="1" applyFont="1" applyFill="1" applyBorder="1" applyAlignment="1">
      <x:alignment horizontal="general" vertical="bottom"/>
    </x:xf>
    <x:xf numFmtId="0" fontId="12" fillId="16" borderId="5" xfId="0" applyNumberFormat="1" applyFont="1" applyFill="1" applyBorder="1" applyAlignment="1">
      <x:alignment horizontal="general" vertical="bottom"/>
    </x:xf>
    <x:xf numFmtId="0" fontId="9" fillId="21" borderId="0" xfId="0" applyNumberFormat="1" applyFont="1" applyFill="1" applyBorder="1" applyAlignment="1">
      <x:alignment horizontal="general" vertical="bottom"/>
    </x:xf>
    <x:xf numFmtId="0" fontId="12" fillId="21" borderId="0" xfId="0" applyNumberFormat="1" applyFont="1" applyFill="1" applyBorder="1" applyAlignment="1">
      <x:alignment horizontal="general" vertical="bottom"/>
    </x:xf>
    <x:xf numFmtId="0" fontId="9" fillId="22" borderId="0" xfId="0" applyNumberFormat="1" applyFont="1" applyFill="1" applyBorder="1" applyAlignment="1">
      <x:alignment horizontal="general" vertical="bottom"/>
    </x:xf>
    <x:xf numFmtId="0" fontId="13" fillId="22" borderId="0" xfId="0" applyNumberFormat="1" applyFont="1" applyFill="1" applyBorder="1" applyAlignment="1">
      <x:alignment horizontal="general" vertical="bottom"/>
    </x:xf>
    <x:xf numFmtId="0" fontId="13" fillId="22" borderId="26" xfId="0" applyNumberFormat="1" applyFont="1" applyFill="1" applyBorder="1" applyAlignment="1">
      <x:alignment horizontal="general" vertical="bottom"/>
    </x:xf>
    <x:xf numFmtId="0" fontId="13" fillId="22" borderId="20" xfId="0" applyNumberFormat="1" applyFont="1" applyFill="1" applyBorder="1" applyAlignment="1">
      <x:alignment horizontal="general" vertical="bottom"/>
    </x:xf>
    <x:xf numFmtId="0" fontId="13" fillId="22" borderId="19" xfId="0" applyNumberFormat="1" applyFont="1" applyFill="1" applyBorder="1" applyAlignment="1">
      <x:alignment horizontal="general" vertical="bottom"/>
    </x:xf>
    <x:xf numFmtId="0" fontId="13" fillId="22" borderId="21" xfId="0" applyNumberFormat="1" applyFont="1" applyFill="1" applyBorder="1" applyAlignment="1">
      <x:alignment horizontal="general" vertical="bottom"/>
    </x:xf>
    <x:xf numFmtId="0" fontId="13" fillId="22" borderId="22" xfId="0" applyNumberFormat="1" applyFont="1" applyFill="1" applyBorder="1" applyAlignment="1">
      <x:alignment horizontal="general" vertical="bottom"/>
    </x:xf>
    <x:xf numFmtId="0" fontId="13" fillId="22" borderId="23" xfId="0" applyNumberFormat="1" applyFont="1" applyFill="1" applyBorder="1" applyAlignment="1">
      <x:alignment horizontal="general" vertical="bottom"/>
    </x:xf>
    <x:xf numFmtId="0" fontId="13" fillId="22" borderId="26" xfId="0" applyNumberFormat="1" applyFont="1" applyFill="1" applyBorder="1" applyAlignment="1">
      <x:alignment horizontal="general" vertical="bottom" wrapText="1"/>
    </x:xf>
    <x:xf numFmtId="0" fontId="13" fillId="22" borderId="20" xfId="0" applyNumberFormat="1" applyFont="1" applyFill="1" applyBorder="1" applyAlignment="1">
      <x:alignment horizontal="general" vertical="bottom" wrapText="1"/>
    </x:xf>
    <x:xf numFmtId="0" fontId="13" fillId="22" borderId="19" xfId="0" applyNumberFormat="1" applyFont="1" applyFill="1" applyBorder="1" applyAlignment="1">
      <x:alignment horizontal="general" vertical="bottom" wrapText="1"/>
    </x:xf>
    <x:xf numFmtId="0" fontId="13" fillId="22" borderId="21" xfId="0" applyNumberFormat="1" applyFont="1" applyFill="1" applyBorder="1" applyAlignment="1">
      <x:alignment horizontal="general" vertical="bottom" wrapText="1"/>
    </x:xf>
    <x:xf numFmtId="0" fontId="13" fillId="22" borderId="22" xfId="0" applyNumberFormat="1" applyFont="1" applyFill="1" applyBorder="1" applyAlignment="1">
      <x:alignment horizontal="general" vertical="bottom" wrapText="1"/>
    </x:xf>
    <x:xf numFmtId="0" fontId="13" fillId="22" borderId="23" xfId="0" applyNumberFormat="1" applyFont="1" applyFill="1" applyBorder="1" applyAlignment="1">
      <x:alignment horizontal="general" vertical="bottom" wrapText="1"/>
    </x:xf>
    <x:xf numFmtId="0" fontId="13" fillId="22" borderId="26" xfId="0" applyNumberFormat="1" applyFont="1" applyFill="1" applyBorder="1" applyAlignment="1">
      <x:alignment horizontal="general" vertical="top" wrapText="1"/>
    </x:xf>
    <x:xf numFmtId="0" fontId="13" fillId="22" borderId="20" xfId="0" applyNumberFormat="1" applyFont="1" applyFill="1" applyBorder="1" applyAlignment="1">
      <x:alignment horizontal="general" vertical="top" wrapText="1"/>
    </x:xf>
    <x:xf numFmtId="0" fontId="13" fillId="22" borderId="19" xfId="0" applyNumberFormat="1" applyFont="1" applyFill="1" applyBorder="1" applyAlignment="1">
      <x:alignment horizontal="general" vertical="top" wrapText="1"/>
    </x:xf>
    <x:xf numFmtId="0" fontId="13" fillId="22" borderId="21" xfId="0" applyNumberFormat="1" applyFont="1" applyFill="1" applyBorder="1" applyAlignment="1">
      <x:alignment horizontal="general" vertical="top" wrapText="1"/>
    </x:xf>
    <x:xf numFmtId="0" fontId="13" fillId="22" borderId="22" xfId="0" applyNumberFormat="1" applyFont="1" applyFill="1" applyBorder="1" applyAlignment="1">
      <x:alignment horizontal="general" vertical="top" wrapText="1"/>
    </x:xf>
    <x:xf numFmtId="0" fontId="13" fillId="22" borderId="23" xfId="0" applyNumberFormat="1" applyFont="1" applyFill="1" applyBorder="1" applyAlignment="1">
      <x:alignment horizontal="general" vertical="top" wrapText="1"/>
    </x:xf>
  </x:cellXfs>
  <x:cellStyles count="6">
    <x:cellStyle name="Normal" xfId="0"/>
    <x:cellStyle name="Comma" xfId="1"/>
    <x:cellStyle name="Comma [0]" xfId="2"/>
    <x:cellStyle name="Currency" xfId="3"/>
    <x:cellStyle name="Currency [0]" xfId="4"/>
    <x:cellStyle name="Percent" xfId="5"/>
  </x:cellStyles>
  <x:dxfs count="15">
    <x:dxf>
      <x:font>
        <x:b/>
        <x:color rgb="FF166534"/>
      </x:font>
      <x:fill>
        <x:patternFill>
          <x:bgColor rgb="FFDCFCE7"/>
        </x:patternFill>
      </x:fill>
    </x:dxf>
    <x:dxf>
      <x:font>
        <x:b/>
        <x:color rgb="FF991B1B"/>
      </x:font>
      <x:fill>
        <x:patternFill>
          <x:bgColor rgb="FFFEE2E2"/>
        </x:patternFill>
      </x:fill>
    </x:dxf>
    <x:dxf>
      <x:font>
        <x:b/>
        <x:color rgb="FF1D4ED8"/>
      </x:font>
      <x:fill>
        <x:patternFill>
          <x:bgColor rgb="FFDBEAFE"/>
        </x:patternFill>
      </x:fill>
    </x:dxf>
    <x:dxf>
      <x:font>
        <x:color rgb="FF475569"/>
      </x:font>
      <x:fill>
        <x:patternFill>
          <x:bgColor rgb="FFF1F5F9"/>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D4ED8"/>
      </x:font>
      <x:fill>
        <x:patternFill>
          <x:bgColor rgb="FFDBEAFE"/>
        </x:patternFill>
      </x:fill>
    </x:dxf>
    <x:dxf>
      <x:font>
        <x:color rgb="FF475569"/>
      </x:font>
      <x:fill>
        <x:patternFill>
          <x:bgColor rgb="FFF1F5F9"/>
        </x:patternFill>
      </x:fill>
    </x:dxf>
    <x:dxf>
      <x:font>
        <x:b/>
        <x:color rgb="FF92400E"/>
      </x:font>
      <x:fill>
        <x:patternFill>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D4ED8"/>
      </x:font>
      <x:fill>
        <x:patternFill patternType="solid">
          <x:bgColor rgb="FFDBEAFE"/>
        </x:patternFill>
      </x:fill>
    </x:dxf>
    <x:dxf>
      <x:font>
        <x:color rgb="FF475569"/>
      </x:font>
      <x:fill>
        <x:patternFill patternType="solid">
          <x:bgColor rgb="FFF1F5F9"/>
        </x:patternFill>
      </x:fill>
    </x:dxf>
    <x:dxf>
      <x:font>
        <x:b/>
        <x:color rgb="FF92400E"/>
      </x:font>
      <x:fill>
        <x:patternFill patternType="solid">
          <x:bgColor rgb="FFFEF3C7"/>
        </x:patternFill>
      </x:fill>
    </x:dxf>
  </x:dxfs>
  <x:colors>
    <x:indexedColors>
      <x:rgbColor rgb="FF000000"/>
      <x:rgbColor rgb="FFFFFFFF"/>
      <x:rgbColor rgb="FFFF0000"/>
      <x:rgbColor rgb="FF00FF00"/>
      <x:rgbColor rgb="FF0000FF"/>
      <x:rgbColor rgb="FFFFFF00"/>
      <x:rgbColor rgb="FFFF00FF"/>
      <x:rgbColor rgb="FF00FFFF"/>
      <x:rgbColor rgb="FF991B1B"/>
      <x:rgbColor rgb="FF166534"/>
      <x:rgbColor rgb="FF15213A"/>
      <x:rgbColor rgb="FF808000"/>
      <x:rgbColor rgb="FF800080"/>
      <x:rgbColor rgb="FF115E59"/>
      <x:rgbColor rgb="FFD9D9D9"/>
      <x:rgbColor rgb="FF4F81BD"/>
      <x:rgbColor rgb="FFEAF0FA"/>
      <x:rgbColor rgb="FFC0504D"/>
      <x:rgbColor rgb="FFFEF3C7"/>
      <x:rgbColor rgb="FFDCFCE7"/>
      <x:rgbColor rgb="FF660066"/>
      <x:rgbColor rgb="FFFF8080"/>
      <x:rgbColor rgb="FF1D4ED8"/>
      <x:rgbColor rgb="FFBFD5FF"/>
      <x:rgbColor rgb="FF17233C"/>
      <x:rgbColor rgb="FFFF00FF"/>
      <x:rgbColor rgb="FFFFFF00"/>
      <x:rgbColor rgb="FF00FFFF"/>
      <x:rgbColor rgb="FF800080"/>
      <x:rgbColor rgb="FF800000"/>
      <x:rgbColor rgb="FF475569"/>
      <x:rgbColor rgb="FF0000FF"/>
      <x:rgbColor rgb="FF00CCFF"/>
      <x:rgbColor rgb="FFECFDF5"/>
      <x:rgbColor rgb="FFE2E8F0"/>
      <x:rgbColor rgb="FFF1F5F9"/>
      <x:rgbColor rgb="FF99F6E4"/>
      <x:rgbColor rgb="FFDBEAFE"/>
      <x:rgbColor rgb="FFD5DEEC"/>
      <x:rgbColor rgb="FFFEE2E2"/>
      <x:rgbColor rgb="FF52627D"/>
      <x:rgbColor rgb="FF14B8A6"/>
      <x:rgbColor rgb="FF9BBB59"/>
      <x:rgbColor rgb="FFFFCC00"/>
      <x:rgbColor rgb="FFFF9900"/>
      <x:rgbColor rgb="FFFF6600"/>
      <x:rgbColor rgb="FF8064A2"/>
      <x:rgbColor rgb="FF969696"/>
      <x:rgbColor rgb="FF1D2A46"/>
      <x:rgbColor rgb="FF4BACC6"/>
      <x:rgbColor rgb="FF111C33"/>
      <x:rgbColor rgb="FF24324A"/>
      <x:rgbColor rgb="FF92400E"/>
      <x:rgbColor rgb="FF993366"/>
      <x:rgbColor rgb="FF33415F"/>
      <x:rgbColor rgb="FF26334D"/>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a809a1b6f743fd" /><Relationship Type="http://schemas.openxmlformats.org/officeDocument/2006/relationships/theme" Target="/xl/theme/theme1.xml" Id="Rfc80ebf710b646c6" /><Relationship Type="http://schemas.openxmlformats.org/officeDocument/2006/relationships/sharedStrings" Target="/xl/sharedStrings.xml" Id="R4f815285f2224745" /><Relationship Type="http://schemas.openxmlformats.org/officeDocument/2006/relationships/worksheet" Target="/xl/worksheets/sheet1.xml" Id="R168c8e198589440c" /><Relationship Type="http://schemas.openxmlformats.org/officeDocument/2006/relationships/worksheet" Target="/xl/worksheets/sheet2.xml" Id="R8226cc9fb5d445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60ce0cf7068842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Application Pipeline</a:t>
            </a:r>
          </a:p>
        </c:rich>
      </c:tx>
      <c:overlay val="0"/>
      <c:txPr>
        <a:bodyPr xmlns:a="http://schemas.openxmlformats.org/drawingml/2006/main" anchorCtr="1"/>
        <a:lstStyle xmlns:a="http://schemas.openxmlformats.org/drawingml/2006/main"/>
        <a:p xmlns:a="http://schemas.openxmlformats.org/drawingml/2006/main">
          <a:pPr>
            <a:defRPr sz="975"/>
          </a:pPr>
        </a:p>
      </c:txPr>
    </c:title>
    <c:plotArea>
      <c:doughnutChart>
        <c:ser>
          <c:idx val="0"/>
          <c:order val="0"/>
          <c:tx>
            <c:v>JOBS</c:v>
          </c:tx>
          <c:cat>
            <c:strRef>
              <c:f>'Dashboard'!$A$16:$A$20</c:f>
              <c:strCache>
                <c:ptCount val="0"/>
              </c:strCache>
            </c:strRef>
          </c:cat>
          <c:val>
            <c:numRef>
              <c:f>'Dashboard'!$B$16:$B$20</c:f>
              <c:numCache>
                <c:formatCode>#,##0</c:formatCode>
                <c:ptCount val="0"/>
              </c:numCache>
            </c:numRef>
          </c:val>
        </c:ser>
      </c:doughnut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10</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ce0cf70688424e"/>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e5bc819f1f149bb" /></Relationships>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4" style="24" hidden="0" customWidth="1"/>
    <x:col min="2" max="2" width="30" style="24" hidden="0" customWidth="1"/>
    <x:col min="3" max="3" width="23" style="24" hidden="0" customWidth="1"/>
    <x:col min="4" max="4" width="20" style="24" hidden="0" customWidth="1"/>
    <x:col min="5" max="5" width="17" style="24" hidden="0" customWidth="1"/>
    <x:col min="6" max="6" width="15" style="24" hidden="0" customWidth="1"/>
    <x:col min="7" max="7" width="28" style="24" hidden="0" customWidth="1"/>
    <x:col min="8" max="8" width="14" style="24" hidden="0" customWidth="1"/>
    <x:col min="9" max="9" width="18" style="24" hidden="0" customWidth="1"/>
    <x:col min="10" max="10" width="12" style="24" hidden="0" customWidth="1"/>
    <x:col min="11" max="12" width="20" style="24" customWidth="1"/>
    <x:col min="13" max="13" width="20" style="24" hidden="0" customWidth="1"/>
    <x:col min="14" max="15" width="16" style="24" customWidth="1"/>
    <x:col min="16" max="17" width="19" style="24" customWidth="1"/>
    <x:col min="18" max="18" width="19" style="24" hidden="0" customWidth="1"/>
    <x:col min="19" max="41" width="12" style="24" customWidth="1"/>
    <x:col min="11" max="11" width="18" hidden="0" customWidth="1"/>
    <x:col min="12" max="12" width="20" hidden="0" customWidth="1"/>
    <x:col min="14" max="14" width="18" hidden="0" customWidth="1"/>
    <x:col min="15" max="15" width="16" hidden="0" customWidth="1"/>
    <x:col min="16" max="16" width="16" hidden="0" customWidth="1"/>
    <x:col min="17" max="17" width="19" hidden="0" customWidth="1"/>
    <x:col min="19" max="19" width="18"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s>
  <x:sheetData>
    <x:row r="1" s="25" customFormat="1" ht="38" customHeight="1">
      <x:c r="A1" s="186" t="str">
        <x:v>id</x:v>
      </x:c>
      <x:c r="B1" s="187" t="str">
        <x:v>title</x:v>
      </x:c>
      <x:c r="C1" s="187" t="str">
        <x:v>companyName</x:v>
      </x:c>
      <x:c r="D1" s="187" t="str">
        <x:v>location</x:v>
      </x:c>
      <x:c r="E1" s="187" t="str">
        <x:v>application_status</x:v>
      </x:c>
      <x:c r="F1" s="187" t="str">
        <x:v>jobboard</x:v>
      </x:c>
      <x:c r="G1" s="187" t="str">
        <x:v>model</x:v>
      </x:c>
      <x:c r="H1" s="187" t="str">
        <x:v>postedAt</x:v>
      </x:c>
      <x:c r="I1" s="187" t="str">
        <x:v>fetched_at</x:v>
      </x:c>
      <x:c r="J1" s="187" t="str">
        <x:v>applicantsCount</x:v>
      </x:c>
      <x:c r="K1" s="187" t="str">
        <x:v>salary</x:v>
      </x:c>
      <x:c r="L1" s="187" t="str">
        <x:v>application_started_at</x:v>
      </x:c>
      <x:c r="M1" s="187" t="str">
        <x:v>application_finished_at</x:v>
      </x:c>
      <x:c r="N1" s="187" t="str">
        <x:v>application_duration_seconds</x:v>
      </x:c>
      <x:c r="O1" s="187" t="str">
        <x:v>application_tool_calls</x:v>
      </x:c>
      <x:c r="P1" s="187" t="str">
        <x:v>application_cost_usd</x:v>
      </x:c>
      <x:c r="Q1" s="187" t="str">
        <x:v>openrouter_credits_before_usd</x:v>
      </x:c>
      <x:c r="R1" s="187" t="str">
        <x:v>openrouter_credits_after_usd</x:v>
      </x:c>
      <x:c r="S1" s="187" t="str">
        <x:v>application_metrics_status</x:v>
      </x:c>
      <x:c r="T1" s="187" t="str">
        <x:v>applyUrl</x:v>
      </x:c>
      <x:c r="U1" s="187" t="str">
        <x:v>link</x:v>
      </x:c>
      <x:c r="V1" s="187" t="str">
        <x:v>trackingId</x:v>
      </x:c>
      <x:c r="W1" s="187" t="str">
        <x:v>refId</x:v>
      </x:c>
      <x:c r="X1" s="187" t="str">
        <x:v>companyLinkedinUrl</x:v>
      </x:c>
      <x:c r="Y1" s="187" t="str">
        <x:v>companyLogo</x:v>
      </x:c>
      <x:c r="Z1" s="187" t="str">
        <x:v>benefits</x:v>
      </x:c>
      <x:c r="AA1" s="187" t="str">
        <x:v>descriptionHtml</x:v>
      </x:c>
      <x:c r="AB1" s="187" t="str">
        <x:v>descriptionText</x:v>
      </x:c>
      <x:c r="AC1" s="187" t="str">
        <x:v>seniorityLevel</x:v>
      </x:c>
      <x:c r="AD1" s="187" t="str">
        <x:v>employmentType</x:v>
      </x:c>
      <x:c r="AE1" s="187" t="str">
        <x:v>jobFunction</x:v>
      </x:c>
      <x:c r="AF1" s="187" t="str">
        <x:v>industries</x:v>
      </x:c>
      <x:c r="AG1" s="187" t="str">
        <x:v>inputUrl</x:v>
      </x:c>
      <x:c r="AH1" s="187" t="str">
        <x:v>companyAddress</x:v>
      </x:c>
      <x:c r="AI1" s="187" t="str">
        <x:v>companyWebsite</x:v>
      </x:c>
      <x:c r="AJ1" s="187" t="str">
        <x:v>companySlogan</x:v>
      </x:c>
      <x:c r="AK1" s="187" t="str">
        <x:v>companyDescription</x:v>
      </x:c>
      <x:c r="AL1" s="187" t="str">
        <x:v>companyEmployeesCount</x:v>
      </x:c>
      <x:c r="AM1" s="187" t="str">
        <x:v>jobPosterName</x:v>
      </x:c>
      <x:c r="AN1" s="187" t="str">
        <x:v>jobPosterTitle</x:v>
      </x:c>
      <x:c r="AO1" s="187" t="str">
        <x:v>jobPosterPhoto</x:v>
      </x:c>
      <x:c r="AP1" s="187" t="str">
        <x:v>jobPosterProfileUrl</x:v>
      </x:c>
    </x:row>
    <x:row r="2" s="25" customFormat="1" ht="22" customHeight="1">
      <x:c r="A2" s="68" t="str">
        <x:v>4363726700</x:v>
      </x:c>
      <x:c r="B2" s="68" t="str">
        <x:v>Software Engineer</x:v>
      </x:c>
      <x:c r="C2" s="68" t="str">
        <x:v>Oso</x:v>
      </x:c>
      <x:c r="D2" s="68" t="str">
        <x:v>New York, NY</x:v>
      </x:c>
      <x:c r="E2" s="68" t="str">
        <x:v>Applied</x:v>
      </x:c>
      <x:c r="F2" s="68"/>
      <x:c r="G2" s="69"/>
      <x:c r="H2" s="85" t="str">
        <x:v>2026-01-17</x:v>
      </x:c>
      <x:c r="I2" s="85"/>
      <x:c r="J2" s="68" t="str">
        <x:v>200</x:v>
      </x:c>
      <x:c r="K2" s="70"/>
      <x:c r="L2" s="86"/>
      <x:c r="M2" s="87"/>
      <x:c r="N2" s="71"/>
      <x:c r="O2" s="88"/>
      <x:c r="P2" s="89"/>
      <x:c r="Q2" s="89"/>
      <x:c r="R2" s="89"/>
      <x:c r="S2" s="73"/>
      <x:c r="T2" s="68"/>
      <x:c r="U2" s="68" t="str">
        <x:v>https://www.linkedin.com/jobs/view/software-engineer-at-oso-4363726700?position=2&amp;pageNum=0&amp;refId=XiMyRdq19N931f2uqH%2BHSg%3D%3D&amp;trackingId=7ecizhYGq8Oj2C9y8mvNVA%3D%3D</x:v>
      </x:c>
      <x:c r="V2" s="68" t="str">
        <x:v>7ecizhYGq8Oj2C9y8mvNVA==</x:v>
      </x:c>
      <x:c r="W2" s="68" t="str">
        <x:v>XiMyRdq19N931f2uqH+HSg==</x:v>
      </x:c>
      <x:c r="X2" s="68" t="str">
        <x:v>https://www.linkedin.com/company/osohq?trk=public_jobs_jserp-result_job-search-card-subtitle</x:v>
      </x:c>
      <x:c r="Y2" s="68" t="str">
        <x:v>https://media.licdn.com/dms/image/v2/C4E0BAQHdArq26Tw7eQ/company-logo_100_100/company-logo_100_100/0/1647976944595/osohq_logo?e=2147483647&amp;v=beta&amp;t=xii4Y8AS2RL27WYAKt1Lb00gKASurgBbb_4hrR_RTAY</x:v>
      </x:c>
      <x:c r="Z2" s="68"/>
      <x:c r="AA2" s="68" t="str">
        <x:v>&lt;strong&gt;Old problem, new $25B+ market&lt;br&gt;&lt;br&gt;&lt;/strong&gt;Companies like AWS, Stripe, and Twilio have shown that if a technology isn't core to your value proposition, you should offload it. Still, every engineering team builds and rebuilds one piece: &lt;strong&gt;authorization&lt;/strong&gt;, how you control who has access to what in your app. We intend to change that.&lt;br&gt;&lt;br&gt;We see a world where developers never roll their own authorization again, and instead say, "Just use Oso" – the same way you might say, "Oh, you should just use Postgres for that." In doing so, we're creating the $25B+ authorization market.&lt;br&gt;&lt;br&gt;Why Oso?&lt;br&gt;&lt;br&gt;We have the lead – in traction, capital, and team.&lt;br&gt;&lt;br&gt;&lt;ul&gt;&lt;li&gt;Traction: Oso is used by thousands of companies from startups to the Fortune 500, like Wayfair, ProductBoard, Vanta, Brex, Verizon, ZoomInfo, and Duolingo. &lt;/li&gt;&lt;li&gt;Capital: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&lt;/li&gt;&lt;li&gt;Team: We've spent 5+ years going deep on the domain. We've met with thousands of engineering teams and know more about this problem than anyone. And we have two of the best developer go-to-market leaders on earth who have done it before at MongoDB and Snyk. &lt;br&gt;&lt;br&gt;&lt;/li&gt;&lt;/ul&gt;Why now?&lt;br&gt;&lt;br&gt;We're at an inflection point. What it takes to get from where we are today to a world where developers say “Just use Oso” is going to be different. And we see that.&lt;br&gt;&lt;br&gt;The opportunity is for you to join at this inflection point, in a role that’s bigger and different than usual.&lt;br&gt;&lt;br&gt;What you'll do&lt;br&gt;&lt;br&gt;&lt;ul&gt;&lt;li&gt;Experiment, design, and build UIs, flows, features, and layers of abstraction that decrease the amount of work our users have to do. Lots of devex&lt;/li&gt;&lt;li&gt;Expand use case coverage of our core authorization service&lt;/li&gt;&lt;li&gt;Build and operate infrastructure for our highly available and low latency cloud service&lt;br&gt;&lt;br&gt;&lt;/li&gt;&lt;/ul&gt;Plus, help build a company and community from the ground up by wearing other hats, including:&lt;br&gt;&lt;br&gt;&lt;ul&gt;&lt;li&gt;Writing documentation and blog posts to excite and support new users&lt;/li&gt;&lt;li&gt;Engaging with users through support channels (e.g., Slack) to help them with their problems&lt;br&gt;&lt;br&gt;&lt;/li&gt;&lt;/ul&gt;Here are examples of things we've worked on:&lt;br&gt;&lt;br&gt;&lt;ul&gt;&lt;li&gt;Built a visual policy builder for our declarative policy language, Polar&lt;/li&gt;&lt;li&gt;Built an interactive debugger, called Explain, to help users understand why authorization requests succeed or fail&lt;/li&gt;&lt;li&gt;Implemented incremental forward chaining to cache authorization responses for deeply nested recursive queries&lt;br&gt;&lt;br&gt;&lt;/li&gt;&lt;/ul&gt;Who you are&lt;br&gt;&lt;br&gt;&lt;ul&gt;&lt;li&gt;You're ambitious. You want to win big. You can't stand to be around anything but execution at the highest level. You have an inner motor to move fast. &lt;/li&gt;&lt;li&gt;You're an owner. You are accountable to results over the process. You see yourself not just as an engineer, but also as an owner of the company. &lt;/li&gt;&lt;li&gt;You're resilient. Building a startup is not for the faint of heart. You see the challenges as not just normal, but actually desirable. &lt;/li&gt;&lt;li&gt;You want to grow, and help others grow. You self-reflect often. You give feedback, and you seek it out. &lt;/li&gt;&lt;li&gt;You prioritize the customer above all else. You want to understand our users' world and prioritize solving their authorization problems above everything else. &lt;br&gt;&lt;br&gt;&lt;/li&gt;&lt;/ul&gt;&lt;strong&gt;Requirements&lt;br&gt;&lt;br&gt;&lt;/strong&gt;&lt;ul&gt;&lt;li&gt;You have 4+ years of experience as a software engineer&lt;/li&gt;&lt;li&gt;You have worked at a startup or in a similar environment&lt;/li&gt;&lt;li&gt;You have worked on developer experience and/or user experience&lt;/li&gt;&lt;li&gt;You can program at different levels of the stack – i.e., frontend and backend, web app to lower level systems&lt;br&gt;&lt;br&gt;&lt;/li&gt;&lt;/ul&gt;&lt;strong&gt;Benefits&lt;br&gt;&lt;br&gt;&lt;/strong&gt;In addition to cash compensation, Oso offers a Total Rewards package that includes equity grants, health benefits, and more:&lt;br&gt;&lt;br&gt;&lt;ul&gt;&lt;li&gt;Competitive health, dental, and vision coverage&lt;/li&gt;&lt;li&gt;Mental healthcare to all employees and anyone in their family through Spring Health&lt;/li&gt;&lt;li&gt;Unlimited access to financial advisors through Northstar&lt;/li&gt;&lt;li&gt;Equity Package&lt;/li&gt;&lt;li&gt;Unlimited paid time off (PTO)&lt;/li&gt;&lt;li&gt;Paid parental leave&lt;/li&gt;&lt;li&gt;Flexible work options&lt;/li&gt;&lt;li&gt;One Medical Membership&lt;/li&gt;&lt;li&gt;Quarterly hackathons... and prizes!&lt;/li&gt;&lt;li&gt;Free team lunches every month&lt;br&gt;&lt;br&gt;&lt;/li&gt;&lt;/ul&gt;The starting salary for this role is between $140,000-$220,000/year plus equity. Your exact offer will vary based on a number of factors including experience level, skillset, market location, and balancing internal equity relative to peers at the company.&lt;br&gt;&lt;br&gt;&lt;strong&gt;A note on titles: &lt;/strong&gt;We have no titles on our engineering team. Everyone is an Engineer. Compensation is commensurate with contribution. For more background, read this blog post.&lt;br&gt;&lt;br&gt;&lt;em&gt;Oso is an equal opportunity employer. All applicants will be considered for employment regardless of race, color, national origin, religion, sex, age, disability, sexual orientation, gender identity, veteran or disability status.&lt;br&gt;&lt;br&gt;&lt;/em&gt;</x:v>
      </x:c>
      <x:c r="AB2" s="68" t="str">
        <x:v>Old problem, new $25B+ market
Companies like AWS, Stripe, and Twilio have shown that if a technology isn't core to your value proposition, you should offload it. Still, every engineering team builds and rebuilds one piece: authorization,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
</x:v>
      </x:c>
      <x:c r="AC2" s="68" t="str">
        <x:v>Not Applicable</x:v>
      </x:c>
      <x:c r="AD2" s="68" t="str">
        <x:v>Full-time</x:v>
      </x:c>
      <x:c r="AE2" s="68" t="str">
        <x:v>Engineering and Information Technology</x:v>
      </x:c>
      <x:c r="AF2" s="68" t="str">
        <x:v>Software Development</x:v>
      </x:c>
      <x:c r="AG2" s="68" t="str">
        <x:v>https://www.linkedin.com/jobs/search/?position=1&amp;pageNum=0&amp;keywords=Software+Engineer&amp;location=United+States&amp;distance=0</x:v>
      </x:c>
      <x:c r="AH2" s="68" t="str">
        <x:v>{'type': 'PostalAddress', 'streetAddress': '72 Madison Ave', 'addressLocality': 'New York', 'addressRegion': 'NY', 'postalCode': '10016', 'addressCountry': 'US'}</x:v>
      </x:c>
      <x:c r="AI2" s="68" t="str">
        <x:v>http://www.osohq.com</x:v>
      </x:c>
      <x:c r="AJ2" s="68" t="str">
        <x:v>Visibility and controls to secure agents.</x:v>
      </x:c>
      <x:c r="AK2" s="68" t="str">
        <x:v>Oso gives organizations the visibility and controls to get their arms around agent adoption: discover every agent running inside your company, monitor all approved AI traffic, detect anomalous behavior and policy violations, enforce rules on what agents can and can't do, and produce complete audit logs of every action.
Trusted by teams at Webflow, Brex, Vanta, Duolingo, and more. Backed by Sequoia and Felicis.</x:v>
      </x:c>
      <x:c r="AL2" s="68"/>
      <x:c r="AM2" s="68"/>
      <x:c r="AN2" s="68"/>
      <x:c r="AO2" s="68"/>
      <x:c r="AP2" s="68"/>
    </x:row>
    <x:row r="3" s="25" customFormat="1" ht="22" customHeight="1">
      <x:c r="A3" s="68" t="str">
        <x:v>4447220072</x:v>
      </x:c>
      <x:c r="B3" s="68" t="str">
        <x:v>Software Engineer (All Levels)</x:v>
      </x:c>
      <x:c r="C3" s="68" t="str">
        <x:v>Blossom</x:v>
      </x:c>
      <x:c r="D3" s="68" t="str">
        <x:v>New York, NY</x:v>
      </x:c>
      <x:c r="E3" s="68" t="str">
        <x:v>Applied</x:v>
      </x:c>
      <x:c r="F3" s="68"/>
      <x:c r="G3" s="69"/>
      <x:c r="H3" s="85" t="str">
        <x:v>2026-07-30</x:v>
      </x:c>
      <x:c r="I3" s="85"/>
      <x:c r="J3" s="68" t="str">
        <x:v>200</x:v>
      </x:c>
      <x:c r="K3" s="70" t="str">
        <x:v>$150,000.00/yr - $220,000.00/yr</x:v>
      </x:c>
      <x:c r="L3" s="86"/>
      <x:c r="M3" s="87"/>
      <x:c r="N3" s="71"/>
      <x:c r="O3" s="88"/>
      <x:c r="P3" s="89"/>
      <x:c r="Q3" s="89"/>
      <x:c r="R3" s="89"/>
      <x:c r="S3" s="73"/>
      <x:c r="T3" s="68"/>
      <x:c r="U3" s="68" t="str">
        <x:v>https://www.linkedin.com/jobs/view/software-engineer-all-levels-at-blossom-4447220072?position=3&amp;pageNum=0&amp;refId=XiMyRdq19N931f2uqH%2BHSg%3D%3D&amp;trackingId=AtihT%2Bqr06uVTq5uYE7pyg%3D%3D</x:v>
      </x:c>
      <x:c r="V3" s="68" t="str">
        <x:v>AtihT+qr06uVTq5uYE7pyg==</x:v>
      </x:c>
      <x:c r="W3" s="68" t="str">
        <x:v>XiMyRdq19N931f2uqH+HSg==</x:v>
      </x:c>
      <x:c r="X3" s="68" t="str">
        <x:v>https://www.linkedin.com/company/join-blossom-health?trk=public_jobs_jserp-result_job-search-card-subtitle</x:v>
      </x:c>
      <x:c r="Y3" s="68" t="str">
        <x:v>https://media.licdn.com/dms/image/v2/D4E0BAQHmZIXWaQE7vA/company-logo_100_100/company-logo_100_100/0/1723745745089/join_blossom_health_logo?e=2147483647&amp;v=beta&amp;t=CGMkWi8ftwyCO7ZQqte-awlWjmWAGU-TF6cM0XPWTxA</x:v>
      </x:c>
      <x:c r="Z3" s="68"/>
      <x:c r="AA3" s="68" t="str">
        <x:v>Blossom Health exists to &lt;strong&gt;solve the mental health epidemic&lt;/strong&gt; in America by partnering with psychiatrists to expand access to affordable, timely, clinically-effective mental healthcare. Our &lt;strong&gt;AI-native care platform&lt;/strong&gt; is loved by hundreds of clinicians and thousands of patients.&lt;br&gt;&lt;br&gt;We’re a &lt;strong&gt;Series A&lt;/strong&gt; company with &lt;strong&gt;$20M+ raised&lt;/strong&gt; from Headline, Village Global, and the founders of General Catalyst, Flatiron Health, Sword Health, Grow Therapy, Fay, Elemy, Zip, Blank Street, Assured, Bridge, Birches Health, and Enzo Health.&lt;br&gt;&lt;br&gt;&lt;strong&gt;&lt;strong&gt;Why you should work here:&lt;br&gt;&lt;br&gt;&lt;/strong&gt;&lt;/strong&gt;&lt;ul&gt;&lt;li&gt;🚀 Hyper-growth environment: Get firsthand exposure to how a startup scales from 0→1→n, with visibility across product, engineering, and operations&lt;/li&gt;&lt;li&gt;🤝 High trust and autonomy: You’ll own meaningful projects from day one and shape both technical decisions and product direction. We trust engineers to figure out the best path forward - without micromanagement. &lt;/li&gt;&lt;li&gt;🧠 Talent-dense team: Work with a top-percentile team built on mutual respect and admiration, with shared goals, motivations, and vision for the future. &lt;/li&gt;&lt;li&gt;⚡ Real impact: Your code will directly improve access to mental health care for thousands of patients and clinicians&lt;br&gt;&lt;br&gt;&lt;/li&gt;&lt;/ul&gt;&lt;strong&gt;&lt;strong&gt;What we're looking for:&lt;br&gt;&lt;br&gt;&lt;/strong&gt;&lt;/strong&gt;&lt;ul&gt;&lt;li&gt;Highly motivated, ambitious, and capable - looking to tackle a large, meaningful problem area&lt;/li&gt;&lt;li&gt;Ownership mindset - thinking for the long-term and placing the business and our customers first&lt;/li&gt;&lt;li&gt;High velocity and high excellence - have a real sense of urgency to move quickly and take pride in the quality of your work&lt;/li&gt;&lt;li&gt;An explorer - comfortable with ambiguity and autonomy, seeking to answer questions previously unasked, to leap into the unknown&lt;/li&gt;&lt;li&gt;An optimist - you believe in a tomorrow better than today&lt;/li&gt;&lt;li&gt;A builder - you take joy in bringing new creation to the world, in leveraging technology to make useful things&lt;/li&gt;&lt;li&gt;Humble - you use your gifts in the service of others and understand that success is an output, not an input&lt;br&gt;&lt;br&gt;&lt;/li&gt;&lt;/ul&gt;&lt;strong&gt;&lt;strong&gt;What you'll do:&lt;br&gt;&lt;br&gt;&lt;/strong&gt;&lt;/strong&gt;&lt;ul&gt;&lt;li&gt;Design and build scalable, reliable systems powering core product workflows&lt;/li&gt;&lt;li&gt;Ship high-quality code that balances speed and technical rigor&lt;/li&gt;&lt;li&gt;Proactively identifying and resolving system reliability risks, owning uptime, observability, and performance as first-class engineering concerns&lt;/li&gt;&lt;li&gt;Leverage cutting-edge AI to create intuitive and novel clinician and patient experiences&lt;/li&gt;&lt;li&gt;Conduct thoughtful code reviews and provide technical mentorship, raising the bar for engineering excellence across the team and beyond&lt;br&gt;&lt;br&gt;&lt;/li&gt;&lt;/ul&gt;&lt;strong&gt;&lt;strong&gt;You'll thrive here if you:&lt;br&gt;&lt;br&gt;&lt;/strong&gt;&lt;/strong&gt;&lt;ul&gt;&lt;li&gt;Have a bachelor's degree or equivalent experience in Computer Science or related field&lt;/li&gt;&lt;li&gt;Have 2+ years of professional working experience outperforming in high-quality environments&lt;/li&gt;&lt;li&gt;Excel at building production systems end-to-end with minimal oversight&lt;/li&gt;&lt;li&gt;Are fluent in TypeScript and/or Python (experience with LLM-powered apps preferred)&lt;/li&gt;&lt;li&gt;Are comfortable with traversing the software stack and picking up the latest technologies to drive technical outcomes&lt;/li&gt;&lt;li&gt;Love autonomy, ambiguity, and ownership&lt;/li&gt;&lt;li&gt;Are authorized to work in the U.S. and excited to be in-person in NYC 5 days a week&lt;br&gt;&lt;br&gt;&lt;/li&gt;&lt;/ul&gt;&lt;strong&gt;&lt;strong&gt;Benefits:&lt;br&gt;&lt;br&gt;&lt;/strong&gt;&lt;/strong&gt;&lt;ul&gt;&lt;li&gt;Competitive salary, equity, growth opportunities&lt;/li&gt;&lt;li&gt;Best-in-class health, dental, and vision insurance&lt;/li&gt;&lt;li&gt;A focus on outcomes, not hours, with unlimited PTO&lt;/li&gt;&lt;li&gt;Team outings, offsites, and a sunny NYC office stocked with snacks&lt;br&gt;&lt;br&gt;&lt;/li&gt;&lt;/ul&gt;Compensation Range: $150K - $220K&lt;br&gt;&lt;br&gt;</x:v>
      </x:c>
      <x:c r="AB3" s="68" t="str">
        <x:v>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5 days a week
Benefits:
- Competitive salary, equity, growth opportunities
- Best-in-class health, dental, and vision insurance
- A focus on outcomes, not hours, with unlimited PTO
- Team outings, offsites, and a sunny NYC office stocked with snacks
Compensation Range: $150K - $220K
</x:v>
      </x:c>
      <x:c r="AC3" s="68" t="str">
        <x:v>Not Applicable</x:v>
      </x:c>
      <x:c r="AD3" s="68" t="str">
        <x:v>Full-time</x:v>
      </x:c>
      <x:c r="AE3" s="68" t="str">
        <x:v>Engineering and Information Technology</x:v>
      </x:c>
      <x:c r="AF3" s="68" t="str">
        <x:v>Technology, Information and Internet</x:v>
      </x:c>
      <x:c r="AG3" s="68" t="str">
        <x:v>https://www.linkedin.com/jobs/search/?position=1&amp;pageNum=0&amp;keywords=Software+Engineer&amp;location=United+States&amp;distance=0</x:v>
      </x:c>
      <x:c r="AH3" s="68" t="str">
        <x:v>{'type': 'PostalAddress', 'addressLocality': 'New York', 'addressRegion': 'New York', 'postalCode': '10010', 'addressCountry': 'US'}</x:v>
      </x:c>
      <x:c r="AI3" s="68" t="str">
        <x:v>www.joinblossomhealth.com/careers</x:v>
      </x:c>
      <x:c r="AJ3" s="68" t="str">
        <x:v>Affordable, timely, clinically-effective psychiatric mental healthcare</x:v>
      </x:c>
      <x:c r="AK3" s="68" t="str">
        <x:v>Blossom exists to solve the mental health epidemic in America by partnering with psychiatrists to expand access to affordable, timely, clinically-effective psychiatric-mental healthcare. Our AI and telehealth technology are loved by hundreds of clinicians and thousands of patients.
Come join us at www.joinblossomhealth.com/careers</x:v>
      </x:c>
      <x:c r="AL3" s="68"/>
      <x:c r="AM3" s="68"/>
      <x:c r="AN3" s="68"/>
      <x:c r="AO3" s="68"/>
      <x:c r="AP3" s="68"/>
    </x:row>
    <x:row r="4" s="25" customFormat="1" ht="22" customHeight="1">
      <x:c r="A4" s="68" t="str">
        <x:v>4318517031</x:v>
      </x:c>
      <x:c r="B4" s="68" t="str">
        <x:v>Software Engineer</x:v>
      </x:c>
      <x:c r="C4" s="68" t="str">
        <x:v>Moab</x:v>
      </x:c>
      <x:c r="D4" s="68" t="str">
        <x:v>New York, NY</x:v>
      </x:c>
      <x:c r="E4" s="68" t="str">
        <x:v>Applied</x:v>
      </x:c>
      <x:c r="F4" s="68"/>
      <x:c r="G4" s="69"/>
      <x:c r="H4" s="85" t="str">
        <x:v>2025-10-22</x:v>
      </x:c>
      <x:c r="I4" s="85"/>
      <x:c r="J4" s="68" t="str">
        <x:v>200</x:v>
      </x:c>
      <x:c r="K4" s="70" t="str">
        <x:v>$150,000.00/yr - $350,000.00/yr</x:v>
      </x:c>
      <x:c r="L4" s="86"/>
      <x:c r="M4" s="87"/>
      <x:c r="N4" s="71"/>
      <x:c r="O4" s="88"/>
      <x:c r="P4" s="89"/>
      <x:c r="Q4" s="89"/>
      <x:c r="R4" s="89"/>
      <x:c r="S4" s="73"/>
      <x:c r="T4" s="68"/>
      <x:c r="U4" s="68" t="str">
        <x:v>https://www.linkedin.com/jobs/view/software-engineer-at-moab-4318517031?position=4&amp;pageNum=0&amp;refId=XiMyRdq19N931f2uqH%2BHSg%3D%3D&amp;trackingId=ZPhWasCmQidDcih6ws%2BX%2Bw%3D%3D</x:v>
      </x:c>
      <x:c r="V4" s="68" t="str">
        <x:v>ZPhWasCmQidDcih6ws+X+w==</x:v>
      </x:c>
      <x:c r="W4" s="68" t="str">
        <x:v>XiMyRdq19N931f2uqH+HSg==</x:v>
      </x:c>
      <x:c r="X4" s="68" t="str">
        <x:v>https://www.linkedin.com/company/trymoab?trk=public_jobs_jserp-result_job-search-card-subtitle</x:v>
      </x:c>
      <x:c r="Y4" s="68" t="str">
        <x:v>https://media.licdn.com/dms/image/v2/D4E0BAQFgsDnzq1uEdw/company-logo_100_100/B4EZxn6ZN3HMAQ-/0/1771269887252/trymoab_logo?e=2147483647&amp;v=beta&amp;t=o9BCzySWsNwImz752QyT0T9TyEse5XDTPE6myG7uzfk</x:v>
      </x:c>
      <x:c r="Z4" s="68"/>
      <x:c r="AA4" s="68" t="str">
        <x:v>&lt;strong&gt;About The Company&lt;br&gt;&lt;br&gt;&lt;/strong&gt;Moab is a seed stage company founded by early employees of Ramp and Uber. We're funded by Elad Gil and Ironspring Ventures.&lt;br&gt;&lt;br&gt;Moab is building heavy equipment rental and dealer management software with the aim to automate all aspects of running these businesses - including managing inventory, orders, billing, service, repair, dispatch, and accounting.&lt;br&gt;&lt;br&gt;The equipment dealer and rental market is an integral part of the multi-trillion dollar construction, agriculture, and logistics industries. It is currently under served by antiquated, incumbent software solutions - most of which were incepted in the 1980's and 1990's.&lt;br&gt;&lt;br&gt;Our ultimate goal is to connect everyone who is selling, buying, renting, servicing, or utilizing equipment. We're starting by building a new system-of-record for equipment rental businesses that will increase back office efficiency and generate additional front office revenue.&lt;br&gt;&lt;br&gt;Moab's founders, Charles Soll (CEO) and Patrick Anderson (CTO), each have a decade of experience building at SaaS companies.&lt;br&gt;&lt;br&gt;&lt;strong&gt;About The Role&lt;br&gt;&lt;br&gt;&lt;/strong&gt;Moab is hiring engineers to build software alongside Patrick Anderson and his team.&lt;br&gt;&lt;br&gt;Our ideal candidate is highly proficient with their tools - having put them to use over many repetitions, taking the time to understand their depth.&lt;br&gt;&lt;br&gt;We use Python, Unix, and Postgres to build Moab's backend. Our frontend is built with React.js and TypeScript.&lt;br&gt;&lt;br&gt;Patrick wrote about his approach to building engineering teams here.&lt;br&gt;&lt;br&gt;&lt;strong&gt;Moab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headcount.&lt;br&gt;&lt;br&gt;&lt;/strong&gt;What you'll do&lt;br&gt;&lt;br&gt;&lt;ul&gt;&lt;li&gt;Build the reliable, maintainable, and minimal software that comprises our product&lt;/li&gt;&lt;li&gt;Collaborate with customers to provide feedback on their proposals and assess feasibility of implementation&lt;/li&gt;&lt;li&gt;Lay the foundation of our engineering culture&lt;br&gt;&lt;br&gt;&lt;/li&gt;&lt;/ul&gt;What you'll need&lt;br&gt;&lt;br&gt;&lt;ul&gt;&lt;li&gt;Experience working at a venture backed company&lt;/li&gt;&lt;li&gt;Track record of shipping software that balances time to market with reliability&lt;/li&gt;&lt;li&gt;Ability to translate a product vision into elegant software abstractions&lt;/li&gt;&lt;li&gt;Full-stack experience&lt;br&gt;&lt;br&gt;&lt;/li&gt;&lt;/ul&gt;&lt;strong&gt;Compensation&lt;br&gt;&lt;br&gt;&lt;/strong&gt;The annual salary for this role is $150,000 to $350,000 plus equity plus benefits&lt;br&gt;&lt;br&gt;&lt;strong&gt;Benefits (for US Based Full-time Employees)&lt;br&gt;&lt;br&gt;&lt;/strong&gt;Medical, dental, and vision insurance coverage&lt;br&gt;&lt;br&gt;Compensation Range: $150K - $350K&lt;br&gt;&lt;br&gt;</x:v>
      </x:c>
      <x:c r="AB4" s="68" t="str">
        <x:v>About The Company
Moab is a seed stage company founded by early employees of Ramp and Uber. We're funded by Elad Gil and Ironspring Ventures.
Moab is building heavy equipment rental and dealer management software with the aim to automate all aspects of running these businesses - including managing inventory, orders, billing, service, repair, dispatch, and accounting.
The equipment dealer and rental market is an integral part of the multi-trillion dollar construction, agriculture, and logistics industries. It is currently under served by antiquated, incumbent software solutions - most of which were incepted in the 1980's and 1990's.
Our ultimate goal is to connect everyone who is selling, buying, renting, servicing, or utilizing equipment. We're starting by building a new system-of-record for equipment rental businesses that will increase back office efficiency and generate additional front office revenue.
Moab's founders, Charles Soll (CEO) and Patrick Anderson (CTO), each have a decade of experience building at SaaS companies.
About The Role
Moab is hiring engineers to build software alongside Patrick Anderson and his team.
Our ideal candidate is highly proficient with their tools - having put them to use over many repetitions, taking the time to understand their depth.
We use Python, Unix, and Postgres to build Moab's backend. Our frontend is built with React.js and TypeScript.
Patrick wrote about his approach to building engineering teams here.
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
What you'll do
- Build the reliable, maintainable, and minimal software that comprises our product
- Collaborate with customers to provide feedback on their proposals and assess feasibility of implementation
- Lay the foundation of our engineering culture
What you'll need
- Experience working at a venture backed company
- Track record of shipping software that balances time to market with reliability
- Ability to translate a product vision into elegant software abstractions
- Full-stack experience
Compensation
The annual salary for this role is $150,000 to $350,000 plus equity plus benefits
Benefits (for US Based Full-time Employees)
Medical, dental, and vision insurance coverage
Compensation Range: $150K - $350K
</x:v>
      </x:c>
      <x:c r="AC4" s="68" t="str">
        <x:v>Not Applicable</x:v>
      </x:c>
      <x:c r="AD4" s="68" t="str">
        <x:v>Full-time</x:v>
      </x:c>
      <x:c r="AE4" s="68" t="str">
        <x:v>Engineering and Information Technology</x:v>
      </x:c>
      <x:c r="AF4" s="68" t="str">
        <x:v>Technology, Information and Internet</x:v>
      </x:c>
      <x:c r="AG4" s="68" t="str">
        <x:v>https://www.linkedin.com/jobs/search/?position=1&amp;pageNum=0&amp;keywords=Software+Engineer&amp;location=United+States&amp;distance=0</x:v>
      </x:c>
      <x:c r="AH4" s="68" t="str">
        <x:v>{'type': 'PostalAddress', 'addressLocality': 'New York ', 'addressCountry': 'US'}</x:v>
      </x:c>
      <x:c r="AI4" s="68" t="str">
        <x:v>www.moab.com</x:v>
      </x:c>
      <x:c r="AJ4" s="68" t="str">
        <x:v>Equipment rental &amp; dealer software, reimagined.</x:v>
      </x:c>
      <x:c r="AK4" s="68" t="str">
        <x:v>Moab is a venture backed software company building software for equipment rental businesses and dealerships, from the next generation of entrepreneurs to today’s market leaders, and everyone in between.</x:v>
      </x:c>
      <x:c r="AL4" s="68"/>
      <x:c r="AM4" s="68"/>
      <x:c r="AN4" s="68"/>
      <x:c r="AO4" s="68"/>
      <x:c r="AP4" s="68"/>
    </x:row>
    <x:row r="5" s="25" customFormat="1" ht="22" customHeight="1">
      <x:c r="A5" s="68" t="str">
        <x:v>4446125803</x:v>
      </x:c>
      <x:c r="B5" s="68" t="str">
        <x:v>Software Engineer, Cash &amp; Close</x:v>
      </x:c>
      <x:c r="C5" s="68" t="str">
        <x:v>Numeric</x:v>
      </x:c>
      <x:c r="D5" s="68" t="str">
        <x:v>New York, NY</x:v>
      </x:c>
      <x:c r="E5" s="68" t="str">
        <x:v>Applied</x:v>
      </x:c>
      <x:c r="F5" s="68"/>
      <x:c r="G5" s="69"/>
      <x:c r="H5" s="85" t="str">
        <x:v>2026-07-27</x:v>
      </x:c>
      <x:c r="I5" s="85"/>
      <x:c r="J5" s="68" t="str">
        <x:v>200</x:v>
      </x:c>
      <x:c r="K5" s="70" t="str">
        <x:v>$155,000.00/yr - $260,000.00/yr</x:v>
      </x:c>
      <x:c r="L5" s="86"/>
      <x:c r="M5" s="87"/>
      <x:c r="N5" s="71"/>
      <x:c r="O5" s="88"/>
      <x:c r="P5" s="89"/>
      <x:c r="Q5" s="89"/>
      <x:c r="R5" s="89"/>
      <x:c r="S5" s="73"/>
      <x:c r="T5" s="68"/>
      <x:c r="U5" s="68" t="str">
        <x:v>https://www.linkedin.com/jobs/view/software-engineer-cash-close-at-numeric-4446125803?position=5&amp;pageNum=0&amp;refId=XiMyRdq19N931f2uqH%2BHSg%3D%3D&amp;trackingId=C1w7PEIf5h3J8%2FRTJlfWUg%3D%3D</x:v>
      </x:c>
      <x:c r="V5" s="68" t="str">
        <x:v>C1w7PEIf5h3J8/RTJlfWUg==</x:v>
      </x:c>
      <x:c r="W5" s="68" t="str">
        <x:v>XiMyRdq19N931f2uqH+HSg==</x:v>
      </x:c>
      <x:c r="X5" s="68" t="str">
        <x:v>https://www.linkedin.com/company/numeric-io?trk=public_jobs_jserp-result_job-search-card-subtitle</x:v>
      </x:c>
      <x:c r="Y5" s="68" t="str">
        <x:v>https://media.licdn.com/dms/image/v2/D560BAQFGx-0asN1JOw/company-logo_100_100/B56Zl3cH_sG4AU-/0/1758645486021/numeric_io_logo?e=2147483647&amp;v=beta&amp;t=8jB5DpgY5fK1DNmxHhcCWk1ghil-E2qY5-tR3s5yMTE</x:v>
      </x:c>
      <x:c r="Z5" s="68"/>
      <x:c r="AA5" s="68" t="str">
        <x:v>&lt;strong&gt;At Numeric, we’re building the modern data platform for accounting and finance.&lt;br&gt;&lt;br&gt;&lt;/strong&gt;We’re building the financial platform that realizes the dream of live, rich, trustworthy data and insights for companies to drive decision-making &amp;amp; execution.&lt;br&gt;&lt;br&gt;Among our hundreds of customers are Anthropic, Notion, Brex, OpenAI, Cursor, Plaid, Wealthfront, Mercury, Figma, and Asana.&lt;br&gt;&lt;br&gt;We raised a $51M Series B in late 2025. We’re backed by IVP, Menlo Ventures, Founders Fund, 8VC, et all. as well as founders and executives from Ramp, Segment, and more.&lt;br&gt;&lt;br&gt;&lt;strong&gt;Why Numeric?&lt;br&gt;&lt;br&gt;&lt;/strong&gt;Accounting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function.&lt;br&gt;&lt;br&gt;We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accounting.&lt;br&gt;&lt;br&gt;We tackle the hard problems. Accounting does not need more duct tape.&lt;br&gt;&lt;br&gt;We’ve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data.&lt;br&gt;&lt;br&gt;&lt;strong&gt;The Role&lt;br&gt;&lt;br&gt;&lt;/strong&gt;Our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month.&lt;br&gt;&lt;br&gt;We’re looking for engineers who enjoy shipping in a tight feedback loop with customers, and take pride in raising the quality and robustness of the system in which they work.&lt;br&gt;&lt;br&gt;&lt;strong&gt;You might be a fit if…&lt;br&gt;&lt;br&gt;&lt;/strong&gt;&lt;ul&gt;&lt;li&gt;You practice “leave it better than you found it” with the systems in which you work. You’re the type who consistently refactors and improves the system, codebase, and tools as you go. &lt;/li&gt;&lt;li&gt;You appreciate tight feedback loops with active customers, and are energized by shipping visible changes to user&lt;/li&gt;&lt;li&gt;You’re comfortable reasoning about systems with regard to resilience, testing, and observability&lt;/li&gt;&lt;li&gt;You’re excited to build systems to support and manage AI development, enabling faster pace without losing stability and quality&lt;br&gt;&lt;br&gt;&lt;/li&gt;&lt;/ul&gt;&lt;strong&gt;What You Need&lt;br&gt;&lt;br&gt;&lt;/strong&gt;&lt;ul&gt;&lt;li&gt;3+ years of full-time experience building software, ideally some tenure of &amp;gt;2 years in one company&lt;/li&gt;&lt;li&gt;Fluency of backend fundamentals, including data structures, database fundamentals, performance concepts. &lt;/li&gt;&lt;li&gt;Code design skills to build robust, high-quality programs&lt;br&gt;&lt;br&gt;&lt;/li&gt;&lt;/ul&gt;&lt;strong&gt;Bonus points for…&lt;br&gt;&lt;br&gt;&lt;/strong&gt;&lt;ul&gt;&lt;li&gt;B2B SAAS experience, especially in related areas like finance, accounting, or in other complex domains&lt;/li&gt;&lt;li&gt;Strong AI development workflow&lt;/li&gt;&lt;li&gt;Strong product thinking, user empathy, or design thinking&lt;br&gt;&lt;br&gt;&lt;/li&gt;&lt;/ul&gt;&lt;strong&gt;How We Work&lt;br&gt;&lt;br&gt;&lt;/strong&gt;&lt;strong&gt;This role is in-person in New York City.&lt;br&gt;&lt;br&gt;&lt;/strong&gt;As an engineer at Numeric you will learn the domain, meet your users, and exercise substantial creativity and agency over product direction. You'll work with a high-pace, high-integrity team that loves collaboration.&lt;br&gt;&lt;br&gt;We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organization.&lt;br&gt;&lt;br&gt;We strongly believe we will only be successful if everyone on the team is anchored in our following set of core principles:&lt;br&gt;&lt;br&gt;&lt;ul&gt;&lt;li&gt;Own the Outcome: We own our results. We typically hire builders and give them large mandates with high-trust. Engineers are responsible not just for code, but for ensuring the product is solving the end problems of the users. &lt;/li&gt;&lt;li&gt;Brick by Brick: To win, our team needs to show up and execute in each domain every day. &lt;/li&gt;&lt;li&gt;Love the Game: We focus on the craft and a deep sense of giving a f*ck. We’re building a company full of people who are equally engaged and motivated. &lt;/li&gt;&lt;li&gt;Earn the right: Our ability to rethink how things are done depends on the trust and reputation we build by shipping quality products and improving the lives of our users. &lt;/li&gt;&lt;li&gt;SALY: We refuse to accept “Same As Last Year.” We bring fresh eyes to a stagnated and underserved domain. We’re driven by a first-principles approach to building better solutions. &lt;br&gt;&lt;br&gt;&lt;/li&gt;&lt;/ul&gt;Read some of our thoughts on engineering and company-building here.&lt;br&gt;&lt;br&gt;Compensation Range: $155K - $260K&lt;br&gt;&lt;br&gt;</x:v>
      </x:c>
      <x:c r="AB5" s="68" t="str">
        <x:v>At Numeric, we’re building the modern data platform for accounting and finance.
We’re building the financial platform that realizes the dream of live, rich, trustworthy data and insights for companies to drive decision-making &amp;amp; execution.
Among our hundreds of customers are Anthropic, Notion, Brex, OpenAI, Cursor, Plaid, Wealthfront, Mercury, Figma, and Asana.
We raised a $51M Series B in late 2025. We’re backed by IVP, Menlo Ventures, Founders Fund, 8VC, et all. as well as founders and executives from Ramp, Segment, and more.
Why Numeric?
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
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
We tackle the hard problems. Accounting does not need more duct tape.
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
The Role
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
We’re looking for engineers who enjoy shipping in a tight feedback loop with customers, and take pride in raising the quality and robustness of the system in which they work.
You might be a fit if…
- You practice “leave it better than you found it” with the systems in which you work. You’re the type who consistently refactors and improves the system, codebase, and tools as you go. 
- You appreciate tight feedback loops with active customers, and are energized by shipping visible changes to user
- You’re comfortable reasoning about systems with regard to resilience, testing, and observability
- You’re excited to build systems to support and manage AI development, enabling faster pace without losing stability and quality
What You Need
- 3+ years of full-time experience building software, ideally some tenure of &amp;gt;2 years in one company
- Fluency of backend fundamentals, including data structures, database fundamentals, performance concepts. 
- Code design skills to build robust, high-quality programs
Bonus points for…
- B2B SAAS experience, especially in related areas like finance, accounting, or in other complex domains
- Strong AI development workflow
- Strong product thinking, user empathy, or design thinking
How We Work
This role is in-person in New York City.
As an engineer at Numeric you will learn the domain, meet your users, and exercise substantial creativity and agency over product direction. You'll work with a high-pace, high-integrity team that loves collaboration.
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
We strongly believe we will only be successful if everyone on the team is anchored in our following set of core principles:
- Own the Outcome: We own our results. We typically hire builders and give them large mandates with high-trust. Engineers are responsible not just for code, but for ensuring the product is solving the end problems of the users. 
- Brick by Brick: To win, our team needs to show up and execute in each domain every day. 
- Love the Game: We focus on the craft and a deep sense of giving a f*ck. We’re building a company full of people who are equally engaged and motivated. 
- Earn the right: Our ability to rethink how things are done depends on the trust and reputation we build by shipping quality products and improving the lives of our users. 
- SALY: We refuse to accept “Same As Last Year.” We bring fresh eyes to a stagnated and underserved domain. We’re driven by a first-principles approach to building better solutions. 
Read some of our thoughts on engineering and company-building here.
Compensation Range: $155K - $260K
</x:v>
      </x:c>
      <x:c r="AC5" s="68" t="str">
        <x:v>Not Applicable</x:v>
      </x:c>
      <x:c r="AD5" s="68" t="str">
        <x:v>Full-time</x:v>
      </x:c>
      <x:c r="AE5" s="68" t="str">
        <x:v>Engineering and Information Technology</x:v>
      </x:c>
      <x:c r="AF5" s="68" t="str">
        <x:v>Software Development</x:v>
      </x:c>
      <x:c r="AG5" s="68" t="str">
        <x:v>https://www.linkedin.com/jobs/search/?position=1&amp;pageNum=0&amp;keywords=Software+Engineer&amp;location=United+States&amp;distance=0</x:v>
      </x:c>
      <x:c r="AH5" s="68" t="str">
        <x:v>{'type': 'PostalAddress', 'addressLocality': 'San Francisco', 'addressCountry': 'US'}</x:v>
      </x:c>
      <x:c r="AI5" s="68" t="str">
        <x:v>http://www.numeric.io</x:v>
      </x:c>
      <x:c r="AJ5" s="68" t="str">
        <x:v>The AI accounting automation platform</x:v>
      </x:c>
      <x:c r="AK5" s="68" t="str">
        <x:v>Numeric is an AI accounting automation platform, built to take manual work off accountants' plates so they can focus on what’s impactful. 
Numeric is currently used by hundreds of private and public companies to organize their close, automate reconciliations, and leverage AI for auto-drafted flux explanations and technical accounting research.
</x:v>
      </x:c>
      <x:c r="AL5" s="68"/>
      <x:c r="AM5" s="68"/>
      <x:c r="AN5" s="68"/>
      <x:c r="AO5" s="68"/>
      <x:c r="AP5" s="68"/>
    </x:row>
    <x:row r="6" s="25" customFormat="1" ht="22" customHeight="1">
      <x:c r="A6" s="68" t="str">
        <x:v>4378357766</x:v>
      </x:c>
      <x:c r="B6" s="68" t="str">
        <x:v>Software Engineer</x:v>
      </x:c>
      <x:c r="C6" s="68" t="str">
        <x:v>Nuvo</x:v>
      </x:c>
      <x:c r="D6" s="68" t="str">
        <x:v>New York, NY</x:v>
      </x:c>
      <x:c r="E6" s="68" t="str">
        <x:v>Applied</x:v>
      </x:c>
      <x:c r="F6" s="68"/>
      <x:c r="G6" s="69"/>
      <x:c r="H6" s="85" t="str">
        <x:v>2026-07-27</x:v>
      </x:c>
      <x:c r="I6" s="85"/>
      <x:c r="J6" s="68" t="str">
        <x:v>200</x:v>
      </x:c>
      <x:c r="K6" s="70"/>
      <x:c r="L6" s="86"/>
      <x:c r="M6" s="87"/>
      <x:c r="N6" s="71"/>
      <x:c r="O6" s="88"/>
      <x:c r="P6" s="89"/>
      <x:c r="Q6" s="89"/>
      <x:c r="R6" s="89"/>
      <x:c r="S6" s="73"/>
      <x:c r="T6" s="68"/>
      <x:c r="U6" s="68" t="str">
        <x:v>https://www.linkedin.com/jobs/view/software-engineer-at-nuvo-4378357766?position=1&amp;pageNum=0&amp;refId=XiMyRdq19N931f2uqH%2BHSg%3D%3D&amp;trackingId=fj36JjQBM2jyAgQqHIGPcg%3D%3D</x:v>
      </x:c>
      <x:c r="V6" s="68" t="str">
        <x:v>fj36JjQBM2jyAgQqHIGPcg==</x:v>
      </x:c>
      <x:c r="W6" s="68" t="str">
        <x:v>XiMyRdq19N931f2uqH+HSg==</x:v>
      </x:c>
      <x:c r="X6" s="68" t="str">
        <x:v>https://www.linkedin.com/company/nuvo?trk=public_jobs_jserp-result_job-search-card-subtitle</x:v>
      </x:c>
      <x:c r="Y6" s="68" t="str">
        <x:v>https://media.licdn.com/dms/image/v2/D560BAQFn5fPtT_js6w/company-logo_100_100/B56ZUq__FEHoAU-/0/1740183171729/nuvocredit_logo?e=2147483647&amp;v=beta&amp;t=oVMIfmHjwigE3-8a3lMKGyNRa9mFhSqKQOIsH_p_EO4</x:v>
      </x:c>
      <x:c r="Z6" s="68"/>
      <x:c r="AA6" s="68" t="str">
        <x:v>&lt;strong&gt;About Nuvo&lt;br&gt;&lt;br&gt;&lt;/strong&gt;&lt;strong&gt;We’re Redefining the $11T B2B Commerce and Payments Market&lt;br&gt;&lt;br&gt;&lt;/strong&gt;Nuvo is bringing B2B commerce online.&lt;br&gt;&lt;br&gt;While technology has reshaped consumer commerce, the business-to-business (B2B) economy — three times larger— has lagged behind.&lt;br&gt;&lt;br&gt;From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inefficient.&lt;br&gt;&lt;br&gt;Much like how Shopify, Stripe and Square have transformed how consumer companies transact, we aim to do the same for B2B companies.&lt;br&gt;&lt;br&gt;&lt;strong&gt;About The Role&lt;br&gt;&lt;br&gt;&lt;/strong&gt;We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economy.&lt;br&gt;&lt;br&gt;&lt;strong&gt;What You’ll Do&lt;br&gt;&lt;br&gt;&lt;/strong&gt;&lt;ul&gt;&lt;li&gt;Write &amp;amp; review high-quality, clean and performant code.&lt;/li&gt;&lt;li&gt;Collaborate with the team to implement intuitive experiences.&lt;/li&gt;&lt;li&gt;Play an active role in shaping the engineering culture, establishing best practices, and contributing to the growth of the team.&lt;/li&gt;&lt;li&gt;Use the best tools for the job — we’ve used technologies like Vue, graphql, and even built our own DSL for defining roles and permissions. What matters most is the impact you create, not the specific tools you use.&lt;br&gt;&lt;br&gt;&lt;/li&gt;&lt;/ul&gt;&lt;strong&gt;What You Bring&lt;br&gt;&lt;br&gt;&lt;/strong&gt;&lt;ul&gt;&lt;li&gt;2+ years prior experience in building and shipping user facing products from start to finish &lt;/li&gt;&lt;li&gt;Strong problem-solving skills and the ability to communicate technical solutions clearly.&lt;/li&gt;&lt;li&gt;A passion for internet technologies and knowledge of trends in modern software engineering.&lt;/li&gt;&lt;li&gt;Experience working in an early-stage engineering team or a fast growing company solving hard ambiguous problems with a strong bias for action.&lt;br&gt;&lt;br&gt;&lt;/li&gt;&lt;/ul&gt;&lt;em&gt;Expected Compensation Range $135,000-$300,000&lt;/em&gt;</x:v>
      </x:c>
      <x:c r="AB6" s="68" t="str">
        <x:v>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
Expected Compensation Range $135,000-$300,000</x:v>
      </x:c>
      <x:c r="AC6" s="68" t="str">
        <x:v>Not Applicable</x:v>
      </x:c>
      <x:c r="AD6" s="68" t="str">
        <x:v>Full-time</x:v>
      </x:c>
      <x:c r="AE6" s="68" t="str">
        <x:v>Engineering and Information Technology</x:v>
      </x:c>
      <x:c r="AF6" s="68" t="str">
        <x:v>Software Development</x:v>
      </x:c>
      <x:c r="AG6" s="68" t="str">
        <x:v>https://www.linkedin.com/jobs/search/?position=1&amp;pageNum=0&amp;keywords=Software+Engineer&amp;location=United+States&amp;distance=0</x:v>
      </x:c>
      <x:c r="AH6" s="68" t="str">
        <x:v>{'type': 'PostalAddress', 'streetAddress': '1070 Maryland St', 'addressLocality': 'San Francisco', 'addressRegion': 'California', 'postalCode': '94107', 'addressCountry': 'US'}</x:v>
      </x:c>
      <x:c r="AI6" s="68" t="str">
        <x:v>https://nuvo.com</x:v>
      </x:c>
      <x:c r="AJ6" s="68" t="str">
        <x:v>The AI order-to-cash network.</x:v>
      </x:c>
      <x:c r="AK6" s="68" t="str">
        <x:v>Nuvo is the AI order-to-cash network that combines customer onboarding, credit &amp; risk management, and accounts receivable in a unified platform, built on top of Nuvo's proprietary trade network of over 175,000 verified businesses.
Built for credit teams, controllers, CFOs, and AR leaders at companies that extend trade credit, Nuvo replaces fragmented manual workflows across applications, verifications, credit decisions, account monitoring, payments, cash application, and collections with AI agents that handle the routine work and a single platform where finance teams stay in control.
Customer Onboarding: Onboard customers through configurable, high-converting branded experiences that accelerate credit approvals, unlock revenue, and reduce fraud. Nuvo replaces manual forms with AI-powered application flows, real-time business and principal identity verification, and embedded credit insights—enabling confident decisions that protect and grow your business.
Vendor Onboarding: Onboard vendors with a seamless digital experience that is tailored to your business and comes with built-in fraud prevention. From bank account verification to W-9 document authentication, you get real-time validation that reduces vendor fraud risk, streamlines approvals, and scales with your business.
Accounts Receivable: Nuvo’s AR Suite unifies payments, cash application, and collections. And with Nuvo Intelligence agents handling the manual work, every dollar your customers owe moves from invoice to your bank account faster. Customers use Nuvo for order-to-cash to lower DSO, improve cash flow predictability, and ultimately yield stronger customer relationships.</x:v>
      </x:c>
      <x:c r="AL6" s="68"/>
      <x:c r="AM6" s="68"/>
      <x:c r="AN6" s="68"/>
      <x:c r="AO6" s="68"/>
      <x:c r="AP6" s="68"/>
    </x:row>
    <x:row r="7" s="25" customFormat="1" ht="22" customHeight="1">
      <x:c r="A7" s="68" t="str">
        <x:v>4447151669</x:v>
      </x:c>
      <x:c r="B7" s="68" t="str">
        <x:v>AI Engineer</x:v>
      </x:c>
      <x:c r="C7" s="68" t="str">
        <x:v>Eightpoint</x:v>
      </x:c>
      <x:c r="D7" s="68" t="str">
        <x:v>Fort Myers, FL</x:v>
      </x:c>
      <x:c r="E7" s="68" t="str">
        <x:v>Applied</x:v>
      </x:c>
      <x:c r="F7" s="68"/>
      <x:c r="G7" s="69"/>
      <x:c r="H7" s="85" t="str">
        <x:v>2026-07-31</x:v>
      </x:c>
      <x:c r="I7" s="85"/>
      <x:c r="J7" s="68" t="str">
        <x:v>200</x:v>
      </x:c>
      <x:c r="K7" s="70"/>
      <x:c r="L7" s="86"/>
      <x:c r="M7" s="87"/>
      <x:c r="N7" s="71"/>
      <x:c r="O7" s="88"/>
      <x:c r="P7" s="89"/>
      <x:c r="Q7" s="89"/>
      <x:c r="R7" s="89"/>
      <x:c r="S7" s="73"/>
      <x:c r="T7" s="68"/>
      <x:c r="U7" s="68" t="str">
        <x:v>https://www.linkedin.com/jobs/view/ai-engineer-at-eightpoint-4447151669?position=4&amp;pageNum=0&amp;refId=5gEGmjK1l08I5JmqFjxRSQ%3D%3D&amp;trackingId=h2IhvvDe4FBKSD%2BsMR1OpQ%3D%3D</x:v>
      </x:c>
      <x:c r="V7" s="68" t="str">
        <x:v>h2IhvvDe4FBKSD+sMR1OpQ==</x:v>
      </x:c>
      <x:c r="W7" s="68" t="str">
        <x:v>5gEGmjK1l08I5JmqFjxRSQ==</x:v>
      </x:c>
      <x:c r="X7" s="68" t="str">
        <x:v>https://ky.linkedin.com/company/eightpoint?trk=public_jobs_jserp-result_job-search-card-subtitle</x:v>
      </x:c>
      <x:c r="Y7" s="68" t="str">
        <x:v>https://media.licdn.com/dms/image/v2/D4E0BAQFsISLEoAZumA/img-crop_100/B4EZc2fjx7HYAQ-/0/1748965932626?e=2147483647&amp;v=beta&amp;t=BnA8v5CNltiEov1nEvxYA6o6CDOrRzROfaXp_ZB1QRw</x:v>
      </x:c>
      <x:c r="Z7" s="68"/>
      <x:c r="AA7" s="68" t="str">
        <x:v>&lt;p&gt;&lt;strong&gt;About Eightpoint&lt;/strong&gt;&lt;/p&gt;&lt;p&gt;&lt;br&gt;&lt;/p&gt;&lt;p&gt;Eightpoint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love.&lt;/p&gt;&lt;p&gt;&lt;br&gt;&lt;/p&gt;&lt;p&gt;Our innovative culture thrives on collaboration, data-driven decisions, and a startup mindset. Join our team and enjoy top-tier benefits, unlimited PTO, flexible schedules, free lunches, and the opportunity to work alongside a world-class team of professionals.&lt;/p&gt;&lt;p&gt;&lt;br&gt;&lt;/p&gt;&lt;p&gt;&lt;strong&gt;About the Role&lt;/strong&gt;&lt;/p&gt;&lt;p&gt;&lt;br&gt;&lt;/p&gt;&lt;p&gt;We're looking for a self-directed AI/ML Engineer to join the Mobile Group at Eightpoint, where you'll be responsible for designing, building, and deploying AI-powered features that directly enhance our portfolio of mobile applications on iOS and Android.&lt;/p&gt;&lt;p&gt;&lt;br&gt;&lt;/p&gt;&lt;p&gt;In this role, you'll take ownership of complex problems from concept through production, leveraging large language models (LLMs), computer vision, recommendation systems, predictive models, and other machine learning technologies to create intelligent, personalized user experiences.&lt;/p&gt;&lt;p&gt;&lt;br&gt;&lt;/p&gt;&lt;p&gt;You'll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solutions.&lt;/p&gt;&lt;p&gt;&lt;br&gt;&lt;/p&gt;&lt;p&gt;&lt;strong&gt;Who You Are&lt;/strong&gt;&lt;/p&gt;&lt;p&gt;&lt;br&gt;&lt;/p&gt;&lt;ul&gt;&lt;li&gt;Strong Python proficiency&lt;/li&gt;&lt;li&gt;Deep experience with LLM application development: Retrieval-Augmented Generation (RAG), vector databases, and embedding models&lt;/li&gt;&lt;li&gt;LLM orchestration frameworks (LangChain, LangGraph, or equivalent)&lt;/li&gt;&lt;li&gt;Fine-tuning experience, specifically LoRA (PEFT and quantization a plus)&lt;/li&gt;&lt;li&gt;PyTorch and/or TensorFlow&lt;/li&gt;&lt;li&gt;Dataset creation—sourcing, curating, and building datasets for training and evaluation&lt;/li&gt;&lt;li&gt;AWS SageMaker&lt;/li&gt;&lt;li&gt;Evaluation of model and retrieval quality (eval datasets, measuring retrieval performance, regression testing)&lt;/li&gt;&lt;li&gt;Telemetry and logging for production systems&lt;/li&gt;&lt;/ul&gt;&lt;p&gt;&lt;br&gt;&lt;/p&gt;&lt;p&gt;&lt;strong&gt;Preferred Qualifications&lt;/strong&gt;&lt;/p&gt;&lt;p&gt;&lt;br&gt;&lt;/p&gt;&lt;ul&gt;&lt;li&gt;FastAPI&lt;/li&gt;&lt;li&gt;Public presence on HuggingFace (model/dataset contributions)&lt;/li&gt;&lt;li&gt;MLOps experience (containerization, CI/CD, orchestration)&lt;/li&gt;&lt;li&gt;Experience with managed ML platforms beyond SageMaker (Vertex AI, etc.)&lt;/li&gt;&lt;li&gt;ONNX (model export/optimization for inference)&lt;/li&gt;&lt;/ul&gt;&lt;p&gt;&lt;br&gt;&lt;/p&gt;</x:v>
      </x:c>
      <x:c r="AB7" s="68" t="str">
        <x:v>
About Eightpoint
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
Our innovative culture thrives on collaboration, data-driven decisions, and a startup mindset. Join our team and enjoy top-tier benefits, unlimited PTO, flexible schedules, free lunches, and the opportunity to work alongside a world-class team of professionals.
About the Role
We're looking for a self-directed AI/ML Engineer to join the Mobile Group at Eightpoint, where you'll be responsible for designing, building, and deploying AI-powered features that directly enhance our portfolio of mobile applications on iOS and Android.
In this role, you'll take ownership of complex problems from concept through production, leveraging large language models (LLMs), computer vision, recommendation systems, predictive models, and other machine learning technologies to create intelligent, personalized user experiences.
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
Who You Are
- Strong Python proficiency
- Deep experience with LLM application development: Retrieval-Augmented Generation (RAG), vector databases, and embedding models
- LLM orchestration frameworks (LangChain, LangGraph, or equivalent)
- Fine-tuning experience, specifically LoRA (PEFT and quantization a plus)
- PyTorch and/or TensorFlow
- Dataset creation—sourcing, curating, and building datasets for training and evaluation
- AWS SageMaker
- Evaluation of model and retrieval quality (eval datasets, measuring retrieval performance, regression testing)
- Telemetry and logging for production systems
Preferred Qualifications
- FastAPI
- Public presence on HuggingFace (model/dataset contributions)
- MLOps experience (containerization, CI/CD, orchestration)
- Experience with managed ML platforms beyond SageMaker (Vertex AI, etc.)
- ONNX (model export/optimization for inference)
</x:v>
      </x:c>
      <x:c r="AC7" s="68" t="str">
        <x:v>Mid-Senior level</x:v>
      </x:c>
      <x:c r="AD7" s="68" t="str">
        <x:v>Full-time</x:v>
      </x:c>
      <x:c r="AE7" s="68" t="str">
        <x:v>Engineering</x:v>
      </x:c>
      <x:c r="AF7" s="68" t="str">
        <x:v>Technology, Information and Media</x:v>
      </x:c>
      <x:c r="AG7" s="68" t="str">
        <x:v>https://www.linkedin.com/jobs/search/?position=1&amp;pageNum=0&amp;keywords=AI+Engineer&amp;location=United+States&amp;distance=0</x:v>
      </x:c>
      <x:c r="AH7" s="68" t="str">
        <x:v>{'type': 'PostalAddress', 'addressLocality': 'George Town', 'addressCountry': 'KY'}</x:v>
      </x:c>
      <x:c r="AI7" s="68" t="str">
        <x:v>https://eightpoint.io/li</x:v>
      </x:c>
      <x:c r="AJ7" s="68" t="str">
        <x:v>	
Building What’s Next in Digital Product Innovation</x:v>
      </x:c>
      <x:c r="AK7" s="68" t="str">
        <x:v>Eightpoint is a product and technology company creating high-scale, user-first digital experiences—from browsers to mobile apps.
We build smarter systems, faster growth engines, and future-ready ecosystems that last. Our team is global, our strategy is scalable, and our execution is fast.
We’re proud to be a certified Great Place to Work®, where people grow, ideas move quickly, and progress is always the goal.
Trusted by Millions,
Loved Worldwide.</x:v>
      </x:c>
      <x:c r="AL7" s="68"/>
      <x:c r="AM7" s="68"/>
      <x:c r="AN7" s="68"/>
      <x:c r="AO7" s="68"/>
      <x:c r="AP7" s="68"/>
    </x:row>
    <x:row r="8" s="25" customFormat="1" ht="22" customHeight="1">
      <x:c r="A8" s="68" t="str">
        <x:v>4447791646</x:v>
      </x:c>
      <x:c r="B8" s="68" t="str">
        <x:v>AI Engineer</x:v>
      </x:c>
      <x:c r="C8" s="68" t="str">
        <x:v>Deployly AI</x:v>
      </x:c>
      <x:c r="D8" s="68" t="str">
        <x:v>New York, NY</x:v>
      </x:c>
      <x:c r="E8" s="68" t="str">
        <x:v>Applied</x:v>
      </x:c>
      <x:c r="F8" s="68"/>
      <x:c r="G8" s="69"/>
      <x:c r="H8" s="85" t="str">
        <x:v>2026-08-01</x:v>
      </x:c>
      <x:c r="I8" s="85"/>
      <x:c r="J8" s="68" t="str">
        <x:v>136</x:v>
      </x:c>
      <x:c r="K8" s="70"/>
      <x:c r="L8" s="86"/>
      <x:c r="M8" s="87"/>
      <x:c r="N8" s="71"/>
      <x:c r="O8" s="88"/>
      <x:c r="P8" s="89"/>
      <x:c r="Q8" s="89"/>
      <x:c r="R8" s="89"/>
      <x:c r="S8" s="73"/>
      <x:c r="T8" s="68"/>
      <x:c r="U8" s="68" t="str">
        <x:v>https://www.linkedin.com/jobs/view/ai-engineer-at-deployly-ai-4447791646?position=1&amp;pageNum=0&amp;refId=5gEGmjK1l08I5JmqFjxRSQ%3D%3D&amp;trackingId=777%2BGSxaGXayYDS%2BUcktyg%3D%3D</x:v>
      </x:c>
      <x:c r="V8" s="68" t="str">
        <x:v>777+GSxaGXayYDS+Ucktyg==</x:v>
      </x:c>
      <x:c r="W8" s="68" t="str">
        <x:v>5gEGmjK1l08I5JmqFjxRSQ==</x:v>
      </x:c>
      <x:c r="X8" s="68" t="str">
        <x:v>https://www.linkedin.com/company/deploylyai?trk=public_jobs_jserp-result_job-search-card-subtitle</x:v>
      </x:c>
      <x:c r="Y8" s="68" t="str">
        <x:v>https://media.licdn.com/dms/image/v2/D4E0BAQEFatCL8NfPPA/company-logo_100_100/B4EZ50s8RvGwAI-/0/1780074399143/deploylyai_logo?e=2147483647&amp;v=beta&amp;t=zI5dK_J5MT8LELWgb4rxa3RHRzeJzs0Pk6wX5sjcxDk</x:v>
      </x:c>
      <x:c r="Z8" s="68"/>
      <x:c r="AA8" s="68" t="str">
        <x:v>&lt;ul&gt;&lt;li&gt;Build and deploy production AI features across client products.&lt;/li&gt;&lt;li&gt;Own model integration, evaluation, and performance tuning.&lt;/li&gt;&lt;li&gt;Collaborate directly with founders and product teams.&lt;/li&gt;&lt;/ul&gt;</x:v>
      </x:c>
      <x:c r="AB8" s="68" t="str">
        <x:v>
- Build and deploy production AI features across client products.
- Own model integration, evaluation, and performance tuning.
- Collaborate directly with founders and product teams.</x:v>
      </x:c>
      <x:c r="AC8" s="68" t="str">
        <x:v>Not Applicable</x:v>
      </x:c>
      <x:c r="AD8" s="68" t="str">
        <x:v>Full-time</x:v>
      </x:c>
      <x:c r="AE8" s="68" t="str">
        <x:v>Engineering and Information Technology</x:v>
      </x:c>
      <x:c r="AF8" s="68" t="str">
        <x:v>IT Services and IT Consulting</x:v>
      </x:c>
      <x:c r="AG8" s="68" t="str">
        <x:v>https://www.linkedin.com/jobs/search/?position=1&amp;pageNum=0&amp;keywords=AI+Engineer&amp;location=United+States&amp;distance=0</x:v>
      </x:c>
      <x:c r="AH8" s="68"/>
      <x:c r="AI8" s="68" t="str">
        <x:v>https://deployly.ai/</x:v>
      </x:c>
      <x:c r="AJ8" s="68" t="str">
        <x:v>The AI transformation partner for ambitious companies.</x:v>
      </x:c>
      <x:c r="AK8" s="68" t="str">
        <x:v>Deployly helps companies identify, build, and deploy AI solutions that drive measurable business outcomes.</x:v>
      </x:c>
      <x:c r="AL8" s="68"/>
      <x:c r="AM8" s="68"/>
      <x:c r="AN8" s="68"/>
      <x:c r="AO8" s="68"/>
      <x:c r="AP8" s="68"/>
    </x:row>
    <x:row r="9" s="25" customFormat="1" ht="22" customHeight="1">
      <x:c r="A9" s="68" t="str">
        <x:v>4404238079</x:v>
      </x:c>
      <x:c r="B9" s="68" t="str">
        <x:v>Machine Learning  Engineer</x:v>
      </x:c>
      <x:c r="C9" s="68" t="str">
        <x:v>ModMed</x:v>
      </x:c>
      <x:c r="D9" s="68" t="str">
        <x:v>Boca Raton, FL</x:v>
      </x:c>
      <x:c r="E9" s="68" t="str">
        <x:v>Applied</x:v>
      </x:c>
      <x:c r="F9" s="68"/>
      <x:c r="G9" s="69"/>
      <x:c r="H9" s="85" t="str">
        <x:v>2026-08-06</x:v>
      </x:c>
      <x:c r="I9" s="85"/>
      <x:c r="J9" s="68" t="str">
        <x:v>200</x:v>
      </x:c>
      <x:c r="K9" s="70"/>
      <x:c r="L9" s="86"/>
      <x:c r="M9" s="87"/>
      <x:c r="N9" s="71"/>
      <x:c r="O9" s="88"/>
      <x:c r="P9" s="89"/>
      <x:c r="Q9" s="89"/>
      <x:c r="R9" s="89"/>
      <x:c r="S9" s="73"/>
      <x:c r="T9" s="68"/>
      <x:c r="U9" s="68" t="str">
        <x:v>https://www.linkedin.com/jobs/view/machine-learning-engineer-at-modmed-4404238079?position=2&amp;pageNum=0&amp;refId=Ffzy0lJRgiAw%2Fr6tRiN8hA%3D%3D&amp;trackingId=2Y%2FGtKDklv9m2IDcmvsS0Q%3D%3D</x:v>
      </x:c>
      <x:c r="V9" s="68" t="str">
        <x:v>2Y/GtKDklv9m2IDcmvsS0Q==</x:v>
      </x:c>
      <x:c r="W9" s="68" t="str">
        <x:v>Ffzy0lJRgiAw/r6tRiN8hA==</x:v>
      </x:c>
      <x:c r="X9" s="68" t="str">
        <x:v>https://www.linkedin.com/company/modernizing-medicine?trk=public_jobs_jserp-result_job-search-card-subtitle</x:v>
      </x:c>
      <x:c r="Y9" s="68" t="str">
        <x:v>https://media.licdn.com/dms/image/v2/D4E0BAQGzV_NHROdhRQ/company-logo_100_100/company-logo_100_100/0/1733582797570/modernizing_medicine_logo?e=2147483647&amp;v=beta&amp;t=yy0c02-uDIZnaDbmzeTISuMwNJ1SV6wIckA7CqB0jCU</x:v>
      </x:c>
      <x:c r="Z9" s="68"/>
      <x:c r="AA9" s="68" t="str">
        <x:v>&lt;strong&gt;Join the Team Modernizing Medicine&lt;br&gt;&lt;br&gt;&lt;/strong&gt;At &lt;strong&gt;ModMed&lt;/strong&gt;, we’re not just building software—we’re reimagining the healthcare experience. Founded in 2010 by a practicing physician and a successful tech entrepreneur, we took a radically different approach: &lt;strong&gt;we hired doctors and taught them how to code.&lt;/strong&gt; This "for doctors, by doctors" philosophy has allowed us to create an AI-enabled, specialty-specific cloud platform that places patients at the center of care.&lt;br&gt;&lt;br&gt;&lt;strong&gt;A Culture of Excellence&lt;br&gt;&lt;br&gt;&lt;/strong&gt;When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Outcomes&lt;br&gt;&lt;br&gt;&lt;ul&gt;&lt;li&gt; Consistently ranked as a Top Place to Work&lt;/li&gt;&lt;li&gt; 2025 Globee Business Awards: Gold Globee for “Technology Team of the Year”&lt;/li&gt;&lt;li&gt; 2025 Black Book Awards: Ranked #1 EHR in 11 Specialties&lt;/li&gt;&lt;li&gt; Florida Venture Forum: Venture-Backed Company of the Year&lt;br&gt;&lt;br&gt;&lt;/li&gt;&lt;/ul&gt;We are growing fast, thinking big, and we are just getting started.&lt;br&gt;&lt;br&gt;&lt;strong&gt;Ready to modernize medicine with us? &lt;br&gt;&lt;br&gt;&lt;/strong&gt;&lt;strong&gt;Job Description Summary&lt;br&gt;&lt;br&gt;&lt;/strong&gt;We are seeking a Machine Learning Engineer to build the &lt;em&gt;“active brain”&lt;/em&gt; of our patient engagement platform. In this role, you will develop autonomous and conversational AI agents capable of triaging patient messages and managing clinical workflows.&lt;br&gt;&lt;br&gt;Your mission is to design systems that don’t just &lt;em&gt;respond&lt;/em&gt;, but &lt;em&gt;act&lt;/em&gt;—executing complex tasks with minimal human intervention while maintaining high standards of safety, empathy, and accuracy.&lt;br&gt;&lt;br&gt;&lt;strong&gt;What You'll Do&lt;br&gt;&lt;br&gt;&lt;/strong&gt;&lt;ul&gt;&lt;li&gt;Autonomous Agent Development Design and deploy multi-agent systems using frameworks such as LangGraph, AutoGen, CrewAI, or no-code/low-code agent frameworks to execute complex, non-linear clinical workflows.&lt;/li&gt;&lt;li&gt;Patient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actions.&lt;/li&gt;&lt;li&gt;Model &amp;amp; Agent Evaluation Design and implement evaluation frameworks to measure model and agent performance, including accuracy, reliability, safety, and task completion. Continuously improve systems using structured evaluation methodologies and feedback loops.&lt;/li&gt;&lt;li&gt;Safety &amp;amp; Guardrails Implement robust evaluation pipelines and guardrails (e.g., NeMo Guardrails) to ensure agent safety, clinical accuracy, and HIPAA compliance.&lt;/li&gt;&lt;li&gt;AI Observability Create and maintain dashboards to monitor agent reasoning traces, system performance, uptime, and task completion rates in production environments.&lt;br&gt;&lt;br&gt;&lt;/li&gt;&lt;/ul&gt;&lt;strong&gt;What You'll Bring&lt;br&gt;&lt;br&gt;&lt;/strong&gt;&lt;ul&gt;&lt;li&gt;3+ years of experience in Machine Learning with a strong focus on AI agents and conversational NLP systems.&lt;/li&gt;&lt;li&gt;Proven experience building autonomous systems using LangGraph, AutoGen, CrewAI, or similar no-code/low-code agent frameworks.&lt;/li&gt;&lt;li&gt;Hands-on experience with fine-tuning models and implementing rigorous evaluation frameworks to ensure agent performance, safety, and reliability. Familiarity with techniques for detecting hallucinations, bias, and failure modes in agent behavior.&lt;/li&gt;&lt;li&gt;Strong understanding of guardrails, alignment techniques, and safety mechanisms to ensure compliant, accurate, and trustworthy agent outputs in sensitive environments.&lt;/li&gt;&lt;li&gt;Hands-on experience with AWS and Databricks, including building CI/CD pipelines for deploying machine learning models and AI agents.&lt;/li&gt;&lt;li&gt;Strong proficiency in Python and experience with modern evaluation frameworks such as RAGAS or DeepEval.&lt;br&gt;&lt;br&gt;&lt;/li&gt;&lt;/ul&gt;&lt;strong&gt;&lt;em&gt;ModMed Benefits Highlight: &lt;/em&gt;&lt;/strong&gt;At ModMed, we believe it’s important to offer a competitive benefits package designed to meet the diverse needs of our growing workforce. Eligible Modernizers can enroll in a wide range of benefits:&lt;br&gt;&lt;br&gt;&lt;strong&gt;United States&lt;br&gt;&lt;br&gt;&lt;/strong&gt;&lt;ul&gt;&lt;li&gt;Comprehensive medical, dental, and vision benefits, including a company Health Savings Account contribution,&lt;/li&gt;&lt;li&gt;401(k): ModMed provides a matching contribution each payday of 50% of your contribution deferred on up to 6% of your compensation. After one year of employment with ModMed, 100% of any matching contribution you receive is yours to keep.&lt;/li&gt;&lt;li&gt;Generous Paid Time Off and Paid Parental Leave programs,&lt;/li&gt;&lt;li&gt;Company paid Life and Disability benefits, Flexible Spending Account, and Employee Assistance Programs,&lt;/li&gt;&lt;li&gt;Company-sponsored Business Resource &amp;amp; Special Interest Groups that provide engaged and supportive communities within ModMed,&lt;/li&gt;&lt;li&gt;Professional development opportunities, including tuition reimbursement programs and unlimited access to LinkedIn Learning,&lt;/li&gt;&lt;li&gt;Global presence and in-person collaboration opportunities; dog-friendly HQ (US), Hybrid office-based roles and remote availability for some roles,&lt;/li&gt;&lt;li&gt;Weekly catered breakfast and lunch, treadmill workstations, Zen, and wellness rooms within our BRIC headquarters.&lt;br&gt;&lt;br&gt;&lt;/li&gt;&lt;/ul&gt;&lt;strong&gt;PHISHING SCAM WARNING: &lt;/strong&gt;ModMed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x:v>
      </x:c>
      <x:c r="AB9" s="68" t="str">
        <x:v>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We are seeking a Machine Learning Engineer to build the “active brain” of our patient engagement platform. In this role, you will develop autonomous and conversational AI agents capable of triaging patient messages and managing clinical workflows.
Your mission is to design systems that don’t just respond, but act—executing complex tasks with minimal human intervention while maintaining high standards of safety, empathy, and accuracy.
What You'll Do
- Autonomous Agent Development Design and deploy multi-agent systems using frameworks such as LangGraph, AutoGen, CrewAI, or no-code/low-code agent frameworks to execute complex, non-linear clinical workflows.
- 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
- Model &amp;amp; Agent Evaluation Design and implement evaluation frameworks to measure model and agent performance, including accuracy, reliability, safety, and task completion. Continuously improve systems using structured evaluation methodologies and feedback loops.
- Safety &amp;amp; Guardrails Implement robust evaluation pipelines and guardrails (e.g., NeMo Guardrails) to ensure agent safety, clinical accuracy, and HIPAA compliance.
- AI Observability Create and maintain dashboards to monitor agent reasoning traces, system performance, uptime, and task completion rates in production environments.
What You'll Bring
- 3+ years of experience in Machine Learning with a strong focus on AI agents and conversational NLP systems.
- Proven experience building autonomous systems using LangGraph, AutoGen, CrewAI, or similar no-code/low-code agent frameworks.
- Hands-on experience with fine-tuning models and implementing rigorous evaluation frameworks to ensure agent performance, safety, and reliability. Familiarity with techniques for detecting hallucinations, bias, and failure modes in agent behavior.
- Strong understanding of guardrails, alignment techniques, and safety mechanisms to ensure compliant, accurate, and trustworthy agent outputs in sensitive environments.
- Hands-on experience with AWS and Databricks, including building CI/CD pipelines for deploying machine learning models and AI agents.
- Strong proficiency in Python and experience with modern evaluation frameworks such as RAGAS or DeepEval.
ModMed Benefits Highlight: At ModMed, we believe it’s important to offer a competitive benefits package designed to meet the diverse needs of our growing workforce. Eligible Modernizers can enroll in a wide range of benefits:
United States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x:v>
      </x:c>
      <x:c r="AC9" s="68" t="str">
        <x:v>Not Applicable</x:v>
      </x:c>
      <x:c r="AD9" s="68" t="str">
        <x:v>Full-time</x:v>
      </x:c>
      <x:c r="AE9" s="68" t="str">
        <x:v>Engineering and Information Technology</x:v>
      </x:c>
      <x:c r="AF9" s="68" t="str">
        <x:v>Software Development</x:v>
      </x:c>
      <x:c r="AG9" s="68" t="str">
        <x:v>https://www.linkedin.com/jobs/search/?position=1&amp;pageNum=0&amp;keywords=AI+Engineer&amp;location=United+States&amp;distance=0</x:v>
      </x:c>
      <x:c r="AH9" s="68" t="str">
        <x:v>{'type': 'PostalAddress', 'streetAddress': '4850 Network Way', 'addressLocality': 'Boca Raton', 'addressRegion': 'Florida', 'postalCode': '33431', 'addressCountry': 'US'}</x:v>
      </x:c>
      <x:c r="AI9" s="68" t="str">
        <x:v>https://www.modmed.com</x:v>
      </x:c>
      <x:c r="AJ9" s="68"/>
      <x:c r="AK9" s="68" t="str">
        <x:v>At ModMed, we empower medical practices to grow and scale by delivering better patient experiences with cloud, data and AI technologies. Through the AI-Powered Practice™, we help specialty medical providers simplify, automate and streamline clinical workflows and drive practice efficiency.
Our specialty-specific EHR, practice management, revenue cycle management and analytics solutions, as well as products for patient engagement, payment processing and marketing, are trusted by nearly 50,000 providers to drive their clinical, financial, and operational success.
Learn more at modmed.com, read our blog and follow us on Facebook, YouTube and Instagram.
</x:v>
      </x:c>
      <x:c r="AL9" s="68"/>
      <x:c r="AM9" s="68"/>
      <x:c r="AN9" s="68"/>
      <x:c r="AO9" s="68"/>
      <x:c r="AP9" s="68"/>
    </x:row>
    <x:row r="10" s="25" customFormat="1" ht="22" customHeight="1">
      <x:c r="A10" s="68" t="str">
        <x:v>4445514865</x:v>
      </x:c>
      <x:c r="B10" s="68" t="str">
        <x:v>AI Engineer</x:v>
      </x:c>
      <x:c r="C10" s="68" t="str">
        <x:v>Glider AI</x:v>
      </x:c>
      <x:c r="D10" s="68" t="str">
        <x:v>Houston, TX</x:v>
      </x:c>
      <x:c r="E10" s="68" t="str">
        <x:v>Applied</x:v>
      </x:c>
      <x:c r="F10" s="68"/>
      <x:c r="G10" s="69"/>
      <x:c r="H10" s="85" t="str">
        <x:v>2026-07-31</x:v>
      </x:c>
      <x:c r="I10" s="85"/>
      <x:c r="J10" s="68" t="str">
        <x:v>200</x:v>
      </x:c>
      <x:c r="K10" s="70"/>
      <x:c r="L10" s="86"/>
      <x:c r="M10" s="87"/>
      <x:c r="N10" s="71"/>
      <x:c r="O10" s="88"/>
      <x:c r="P10" s="89"/>
      <x:c r="Q10" s="89"/>
      <x:c r="R10" s="89"/>
      <x:c r="S10" s="73"/>
      <x:c r="T10" s="68"/>
      <x:c r="U10" s="68" t="str">
        <x:v>https://www.linkedin.com/jobs/view/ai-engineer-at-glider-ai-4445514865?position=5&amp;pageNum=0&amp;refId=Ffzy0lJRgiAw%2Fr6tRiN8hA%3D%3D&amp;trackingId=EqjXu%2FbxwfV7F%2F9cdE7qxw%3D%3D</x:v>
      </x:c>
      <x:c r="V10" s="68" t="str">
        <x:v>EqjXu/bxwfV7F/9cdE7qxw==</x:v>
      </x:c>
      <x:c r="W10" s="68" t="str">
        <x:v>Ffzy0lJRgiAw/r6tRiN8hA==</x:v>
      </x:c>
      <x:c r="X10" s="68" t="str">
        <x:v>https://www.linkedin.com/company/gliderai?trk=public_jobs_jserp-result_job-search-card-subtitle</x:v>
      </x:c>
      <x:c r="Y10" s="68" t="str">
        <x:v>https://media.licdn.com/dms/image/v2/C4E0BAQHUPIR6pwgZ7w/company-logo_100_100/company-logo_100_100/0/1630648590497/gliderai_logo?e=2147483647&amp;v=beta&amp;t=hNJVeBZomt0-EsbukzOI6BcCYFvhGkkPl1UhWBZQ0kg</x:v>
      </x:c>
      <x:c r="Z10" s="68"/>
      <x:c r="AA10" s="68" t="str">
        <x:v>&lt;p&gt;&lt;strong&gt;Locations (Hybrid):&lt;/strong&gt;&lt;/p&gt;&lt;p&gt;Richardson, TX&amp;nbsp;&lt;/p&gt;&lt;p&gt;Houston, TX&lt;/p&gt;&lt;p&gt;Raleigh, NC&amp;nbsp;&lt;/p&gt;&lt;p&gt;Charlotte, NC&lt;/p&gt;&lt;p&gt;Somerset, NJ&lt;/p&gt;&lt;p&gt;Tempe, AZ&amp;nbsp;&lt;/p&gt;&lt;p&gt;&amp;nbsp;&lt;/p&gt;&lt;p&gt;&lt;strong&gt;Relocation Assistance:&lt;/strong&gt; Relocation package is available for eligible candidates.&lt;/p&gt;&lt;p&gt;&amp;nbsp;&lt;/p&gt;&lt;p&gt;&lt;strong&gt;About the Role&lt;/strong&gt;&lt;/p&gt;&lt;p&gt;We are seeking an experienced &lt;strong&gt;AI Engineer&lt;/strong&gt; with expertise in &lt;strong&gt;Generative AI&lt;/strong&gt;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technologies.&lt;/p&gt;&lt;p&gt;If you're passionate about innovation, AI, and building production-ready intelligent systems, we'd love to hear from you.&lt;/p&gt;&lt;p&gt;&amp;nbsp;&lt;/p&gt;&lt;p&gt;&lt;strong&gt;What You'll Do&lt;/strong&gt;&lt;/p&gt;&lt;p&gt;Analyze user stories and business requirements to deliver production-ready AI solutions.&lt;/p&gt;&lt;p&gt;Design and develop scalable, high-quality, and optimized software applications.&lt;/p&gt;&lt;p&gt;Build, fine-tune, evaluate, and deploy Large Language Models (LLMs) for business use cases.&lt;/p&gt;&lt;p&gt;Develop Generative AI applications for text generation, code generation, document intelligence, automation, and other AI-driven solutions.&lt;/p&gt;&lt;p&gt;Create reusable frameworks, automation scripts, and technical assets to improve engineering productivity.&lt;/p&gt;&lt;p&gt;Debug and resolve complex technical issues across applications and databases.&lt;/p&gt;&lt;p&gt;Collaborate with cross-functional teams including Data Science, Engineering, and Product Management.&lt;/p&gt;&lt;p&gt;Support Proof of Concepts (POCs) and evaluate emerging AI technologies.&lt;/p&gt;&lt;p&gt;Ensure reliable, secure, and production-ready deployments.&lt;/p&gt;&lt;p&gt;Contribute to knowledge sharing, technical documentation, and engineering best practices.&lt;/p&gt;&lt;p&gt;Promote responsible AI development with a focus on fairness, explainability, and bias mitigation.&lt;/p&gt;&lt;p&gt;&amp;nbsp;&lt;/p&gt;&lt;p&gt;&lt;strong&gt;Required Qualifications&lt;/strong&gt;&lt;/p&gt;&lt;p&gt;Experience developing and deploying &lt;strong&gt;Generative AI&lt;/strong&gt; solutions.&lt;/p&gt;&lt;p&gt;Strong understanding of Machine Learning, Deep Learning, and Natural Language Processing (NLP).&lt;/p&gt;&lt;p&gt;Experience working with Large Language Models (LLMs) and model fine-tuning.&lt;/p&gt;&lt;p&gt;Strong programming skills in &lt;strong&gt;Python&lt;/strong&gt;.&lt;/p&gt;&lt;p&gt;Hands-on experience with &lt;strong&gt;TensorFlow&lt;/strong&gt;, &lt;strong&gt;PyTorch&lt;/strong&gt;, or similar deep learning frameworks.&lt;/p&gt;&lt;p&gt;Experience managing the complete AI development lifecycle, including data preparation, model training, evaluation, optimization, and deployment.&lt;/p&gt;&lt;p&gt;Strong analytical, debugging, and problem-solving skills.&lt;/p&gt;&lt;p&gt;Excellent communication and collaboration abilities.&lt;/p&gt;&lt;p&gt;Ability to thrive in a fast-paced, collaborative engineering environment.&lt;/p&gt;&lt;p&gt;&amp;nbsp;&lt;/p&gt;&lt;p&gt;&lt;strong&gt;Preferred Qualifications&lt;/strong&gt;&lt;/p&gt;&lt;p&gt;Experience with cloud platforms such as &lt;strong&gt;AWS&lt;/strong&gt;, &lt;strong&gt;Azure&lt;/strong&gt;, &lt;strong&gt;Google Cloud Platform (GCP)&lt;/strong&gt;, or &lt;strong&gt;OpenShift&lt;/strong&gt;.&lt;/p&gt;&lt;p&gt;Experience with open-source AI technologies and frameworks.&lt;/p&gt;&lt;p&gt;Active contributions to open-source projects or technology communities.&lt;/p&gt;&lt;p&gt;Industry certifications related to AI, Machine Learning, or Cloud technologies.&lt;/p&gt;&lt;p&gt;Strong coding background with achievements on platforms such as HackerRank, CodeChef, or similar.&lt;/p&gt;&lt;p&gt;Experience building scalable, enterprise-grade AI applications.&lt;/p&gt;&lt;p&gt;&amp;nbsp;&lt;/p&gt;&lt;p&gt;&lt;strong&gt;Education&lt;/strong&gt;&lt;/p&gt;&lt;p&gt;Bachelor's degree (or foreign equivalent) in Computer Science, Engineering, or a related technical field.&lt;/p&gt;&lt;p&gt;Equivalent professional experience will also be considered.&lt;/p&gt;&lt;p&gt;&amp;nbsp;&lt;/p&gt;&lt;p&gt;&lt;strong&gt;Work Authorization&lt;/strong&gt;&lt;/p&gt;&lt;p&gt;Candidates must be authorized to work for any employer in the United States.&lt;/p&gt;&lt;p&gt;&lt;strong&gt;Employer-based visa sponsorship is not available for this position, now or in the future.&lt;/strong&gt;&lt;/p&gt;&lt;p&gt;&amp;nbsp;&lt;/p&gt;&lt;p&gt;&lt;strong&gt;Benefits&lt;/strong&gt;&lt;/p&gt;&lt;p&gt;We offer a competitive compensation and benefits package, including:&lt;/p&gt;&lt;p&gt;Medical, Dental &amp;amp; Vision Insurance&lt;/p&gt;&lt;p&gt;Life Insurance&lt;/p&gt;&lt;p&gt;Short-Term &amp;amp; Long-Term Disability Coverage&lt;/p&gt;&lt;p&gt;Health &amp;amp; Dependent Care Reimbursement Accounts&lt;/p&gt;&lt;p&gt;Supplemental Insurance (Accident, Critical Illness, Hospital Indemnity, Legal)&lt;/p&gt;&lt;p&gt;401(k) Retirement Plan&lt;/p&gt;&lt;p&gt;Paid Holidays&lt;/p&gt;&lt;p&gt;Generous Paid Time Off (PTO)&lt;/p&gt;&lt;p&gt;Relocation Assistance for eligible candidates&lt;/p&gt;&lt;p&gt;Career development and continuous learning opportunities&lt;/p&gt;&lt;p&gt;&amp;nbsp;&lt;/p&gt;&lt;p&gt;&lt;strong&gt;Apply Today!&lt;/strong&gt;&lt;/p&gt;&lt;p&gt;If you're passionate about Artificial Intelligence, Generative AI, and building innovative solutions that make a real impact, we'd love to connect with you.&lt;/p&gt;&lt;ul&gt;&lt;li&gt;📩 Apply today or reach out directly to learn more about this opportunity.&lt;/li&gt;&lt;/ul&gt;</x:v>
      </x:c>
      <x:c r="AB10" s="68" t="str">
        <x:v>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x:v>
      </x:c>
      <x:c r="AC10" s="68" t="str">
        <x:v>Entry level</x:v>
      </x:c>
      <x:c r="AD10" s="68" t="str">
        <x:v>Full-time</x:v>
      </x:c>
      <x:c r="AE10" s="68" t="str">
        <x:v>Engineering and Information Technology</x:v>
      </x:c>
      <x:c r="AF10" s="68" t="str">
        <x:v>Software Development</x:v>
      </x:c>
      <x:c r="AG10" s="68" t="str">
        <x:v>https://www.linkedin.com/jobs/search/?position=1&amp;pageNum=0&amp;keywords=AI+Engineer&amp;location=United+States&amp;distance=0</x:v>
      </x:c>
      <x:c r="AH10" s="68" t="str">
        <x:v>{'type': 'PostalAddress', 'streetAddress': '702 Marshall St.', 'addressLocality': 'Redwood City', 'addressRegion': 'California', 'postalCode': '94063', 'addressCountry': 'US'}</x:v>
      </x:c>
      <x:c r="AI10" s="68" t="str">
        <x:v>https://glider.ai/</x:v>
      </x:c>
      <x:c r="AJ10" s="68" t="str">
        <x:v>AI Skills Validation &amp; Learning | Make Hiring Fair &amp; Opportunity Accessible! </x:v>
      </x:c>
      <x:c r="AK10" s="68" t="str">
        <x:v>Glider AI, a Findem company, helps organizations hire and develop talent with confidence. Our Skills Validation and ID Verification Platform replicates your best recruiter, interviewer, and trainer to identify top talent faster, validate real-world skills, reduce hiring risk, and improve hiring quality through AI-powered assessments, interviews, and learning.</x:v>
      </x:c>
      <x:c r="AL10" s="68"/>
      <x:c r="AM10" s="68"/>
      <x:c r="AN10" s="68"/>
      <x:c r="AO10" s="68"/>
      <x:c r="AP10" s="68"/>
    </x:row>
    <x:row r="11" s="25" customFormat="1" ht="22" customHeight="1">
      <x:c r="A11" s="68" t="str">
        <x:v>4447986743</x:v>
      </x:c>
      <x:c r="B11" s="68" t="str">
        <x:v>AI Engineer, Internal Enablement &amp; Productivity</x:v>
      </x:c>
      <x:c r="C11" s="68" t="str">
        <x:v>Air</x:v>
      </x:c>
      <x:c r="D11" s="68" t="str">
        <x:v>Pittsburgh, PA</x:v>
      </x:c>
      <x:c r="E11" s="68" t="str">
        <x:v>Applied</x:v>
      </x:c>
      <x:c r="F11" s="68"/>
      <x:c r="G11" s="69"/>
      <x:c r="H11" s="85" t="str">
        <x:v>2026-08-03</x:v>
      </x:c>
      <x:c r="I11" s="85"/>
      <x:c r="J11" s="68" t="str">
        <x:v>62</x:v>
      </x:c>
      <x:c r="K11" s="70"/>
      <x:c r="L11" s="86"/>
      <x:c r="M11" s="87"/>
      <x:c r="N11" s="71"/>
      <x:c r="O11" s="88"/>
      <x:c r="P11" s="89"/>
      <x:c r="Q11" s="89"/>
      <x:c r="R11" s="89"/>
      <x:c r="S11" s="73"/>
      <x:c r="T11" s="68"/>
      <x:c r="U11" s="68" t="str">
        <x:v>https://www.linkedin.com/jobs/view/ai-engineer-internal-enablement-productivity-at-air-4447986743?position=3&amp;pageNum=0&amp;refId=Ffzy0lJRgiAw%2Fr6tRiN8hA%3D%3D&amp;trackingId=fGHrX5xnz%2BfuMk0X9aJSOQ%3D%3D</x:v>
      </x:c>
      <x:c r="V11" s="68" t="str">
        <x:v>fGHrX5xnz+fuMk0X9aJSOQ==</x:v>
      </x:c>
      <x:c r="W11" s="68" t="str">
        <x:v>Ffzy0lJRgiAw/r6tRiN8hA==</x:v>
      </x:c>
      <x:c r="X11" s="68" t="str">
        <x:v>https://www.linkedin.com/company/air-enterprise-readiness?trk=public_jobs_jserp-result_job-search-card-subtitle</x:v>
      </x:c>
      <x:c r="Y11" s="68" t="str">
        <x:v>https://media.licdn.com/dms/image/v2/D4E0BAQFUgvesvqurgw/company-logo_100_100/B4EZ7viW5zHMAI-/0/1782135222131?e=2147483647&amp;v=beta&amp;t=NliZK02iNO4q7OL6nsyEZ8Ir1XvaysuGPR5AIDPYIQg</x:v>
      </x:c>
      <x:c r="Z11" s="68"/>
      <x:c r="AA11" s="68" t="str">
        <x:v>&lt;strong&gt;Company Description&lt;br&gt;&lt;br&gt;&lt;/strong&gt;Air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succeed.&lt;br&gt;&lt;br&gt;&lt;strong&gt;Job Description&lt;br&gt;&lt;br&gt;&lt;/strong&gt;We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automation.&lt;br&gt;&lt;br&gt;You'll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GTM.&lt;br&gt;&lt;br&gt;To do this job well, we are looking for someone who can demonstrate project(s) built on LLMs that showcases your skill at reliably automating complex tasks.&lt;br&gt;&lt;br&gt;&lt;ul&gt;&lt;li&gt;Experience integrating and working with LLMs, with a strong understanding of their capabilities and limitations&lt;/li&gt;&lt;li&gt;Experience integrating and working with agent frameworks (e.g. Claude Agent SDK, Google Anti-Gravity, OpenAI Agent SDK)&lt;/li&gt;&lt;li&gt;Experience building observability, evaluation, and feedback loops for agent behavior (telemetry, prompt evaluation, regression testing, and reliability metrics).&lt;/li&gt;&lt;li&gt;Experience working in highly ambiguous environments, and operate with urgency&lt;/li&gt;&lt;li&gt;Startup experience, particularly in scaling products from zero to one&lt;br&gt;&lt;br&gt;&lt;/li&gt;&lt;/ul&gt;&lt;strong&gt;Strong Candidates Have&lt;br&gt;&lt;br&gt;&lt;/strong&gt;&lt;ul&gt;&lt;li&gt;Deep experience leveraging agents across applications and business workflows to drive meaningful impact&lt;/li&gt;&lt;li&gt;Experience designing and deploying complex agentic systems using LLMs (e.g. deep research)&lt;/li&gt;&lt;li&gt;Hands-on work with multi-agent coordination, routing, and tool orchestration&lt;br&gt;&lt;br&gt;&lt;/li&gt;&lt;/ul&gt;This role is a full-time position located out of our office in Arlington, VA or Pittsburgh, PA. This role may require up to 25% travel.&lt;br&gt;&lt;br&gt;&lt;strong&gt;Scope Of Responsibilities&lt;br&gt;&lt;br&gt;&lt;/strong&gt;&lt;ul&gt;&lt;li&gt;Designs and builds multi-agent systems with tool use, memory, routing, and planning to automate internal business processes and enhance employee capabilities.&lt;/li&gt;&lt;li&gt;Develops Agent Skills and tools as modular, composable services that interact with backend systems, models, and data processing to increase internal team velocity.&lt;/li&gt;&lt;li&gt;Contribute to the technical architecture and engineering standards for internal agentic systems, ensuring scalability, reliability, and maintainability across the organization.&lt;/li&gt;&lt;li&gt;Assist with automated evaluation of agents, skills, and prompts across the entire product lifecycle to ensure reliable internal tools.&lt;/li&gt;&lt;li&gt;Partner with internal Product, Engineering, GTM, and Operations teams to identify and implement AI-driven solutions to optimize their workflows and reduce operational costs.&lt;br&gt;&lt;br&gt;&lt;/li&gt;&lt;/ul&gt;&lt;strong&gt;How We Define Success (Key Metrics)Internal Team Enablement (Operations, Customer Success, Engineering)&lt;br&gt;&lt;br&gt;&lt;/strong&gt;&lt;ul&gt;&lt;li&gt;Operational Cost Savings: Reduce operational expenses for targeted teams through workflow automation via AI agents.&lt;/li&gt;&lt;li&gt;Employee Productivity: Achieve measurable increases in internal team capacity and velocity through AI-driven workflows and tools.&lt;/li&gt;&lt;li&gt;Internal Adoption Rate: Achieve a high adoption rate of new AI agents and enablement tools within key departments within the first 90 days.&lt;/li&gt;&lt;li&gt;Accelerated Development: Reduce feature development timelines through AI-assisted coding, documentation, and testing tools.&lt;br&gt;&lt;br&gt;&lt;/li&gt;&lt;/ul&gt;&lt;strong&gt;Qualifications&lt;br&gt;&lt;br&gt;&lt;/strong&gt;&lt;ul&gt;&lt;li&gt;U.S. Citizenship is required&lt;br&gt;&lt;br&gt;&lt;/li&gt;&lt;/ul&gt;&lt;strong&gt;Required Skills&lt;br&gt;&lt;br&gt;&lt;/strong&gt;&lt;ul&gt;&lt;li&gt;Bachelor's, Master’s, or Doctorate in Computer Science, Computer Engineering, Data Science, or a related field&lt;/li&gt;&lt;li&gt;Minimum 3 years of experience building and deploying ML or LLM-powered systems in production environments&lt;/li&gt;&lt;li&gt;Practical experience in building, developing, and productionizing machine learning systems&lt;/li&gt;&lt;li&gt;Advanced software skills in Python and other programming languages&lt;/li&gt;&lt;li&gt;Experience with common LLM algorithms and implementations, including coding agents (e.g. Claude Code and GenAI coding best practices).&lt;/li&gt;&lt;li&gt;Hands-on experience with cloud infrastructure (e.g. AWS, GCP)&lt;/li&gt;&lt;li&gt;A strong desire to learn and investigate new technologies&lt;/li&gt;&lt;li&gt;Familiarity with Git source control management&lt;/li&gt;&lt;li&gt;Ability to work collaboratively with little supervision&lt;/li&gt;&lt;li&gt;A burning desire to work in a challenging fast-paced tech environment&lt;/li&gt;&lt;li&gt;A burning desire to work in a challenging fast-paced tech environment&lt;br&gt;&lt;br&gt;&lt;/li&gt;&lt;/ul&gt;&lt;strong&gt;Desired Skills&lt;br&gt;&lt;br&gt;&lt;/strong&gt;&lt;ul&gt;&lt;li&gt;Current possession of a U.S. security clearance, or the ability to obtain one with our sponsorship&lt;/li&gt;&lt;li&gt;Experience in or exposure to the nuances of a startup or other entrepreneurial environment&lt;/li&gt;&lt;li&gt;Experience with modern front-end frameworks (e.g., React, Next.js, or similar) and API-driven UI architectures&lt;/li&gt;&lt;/ul&gt;</x:v>
      </x:c>
      <x:c r="AB11" s="68" t="str">
        <x:v>Company Description
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 Experience integrating and working with LLMs, with a strong understanding of their capabilities and limitations
- Experience integrating and working with agent frameworks (e.g. Claude Agent SDK, Google Anti-Gravity, OpenAI Agent SDK)
- Experience building observability, evaluation, and feedback loops for agent behavior (telemetry, prompt evaluation, regression testing, and reliability metrics).
- Experience working in highly ambiguous environments, and operate with urgency
- Startup experience, particularly in scaling products from zero to one
Strong Candidates Have
- Deep experience leveraging agents across applications and business workflows to drive meaningful impact
- Experience designing and deploying complex agentic systems using LLMs (e.g. deep research)
- Hands-on work with multi-agent coordination, routing, and tool orchestration
This role is a full-time position located out of our office in Arlington, VA or Pittsburgh, PA. This role may require up to 25% travel.
Scope Of Responsibilities
- Designs and builds multi-agent systems with tool use, memory, routing, and planning to automate internal business processes and enhance employee capabilities.
- Develops Agent Skills and tools as modular, composable services that interact with backend systems, models, and data processing to increase internal team velocity.
- Contribute to the technical architecture and engineering standards for internal agentic systems, ensuring scalability, reliability, and maintainability across the organization.
- Assist with automated evaluation of agents, skills, and prompts across the entire product lifecycle to ensure reliable internal tools.
- Partner with internal Product, Engineering, GTM, and Operations teams to identify and implement AI-driven solutions to optimize their workflows and reduce operational costs.
How We Define Success (Key Metrics)Internal Team Enablement (Operations, Customer Success, Engineering)
- Operational Cost Savings: Reduce operational expenses for targeted teams through workflow automation via AI agents.
- Employee Productivity: Achieve measurable increases in internal team capacity and velocity through AI-driven workflows and tools.
- Internal Adoption Rate: Achieve a high adoption rate of new AI agents and enablement tools within key departments within the first 90 days.
- Accelerated Development: Reduce feature development timelines through AI-assisted coding, documentation, and testing tools.
Qualifications
- U.S. Citizenship is required
Required Skills
- Bachelor's, Master’s, or Doctorate in Computer Science, Computer Engineering, Data Science, or a related field
- Minimum 3 years of experience building and deploying ML or LLM-powered systems in production environments
- Practical experience in building, developing, and productionizing machine learning systems
- Advanced software skills in Python and other programming languages
- Experience with common LLM algorithms and implementations, including coding agents (e.g. Claude Code and GenAI coding best practices).
- Hands-on experience with cloud infrastructure (e.g. AWS, GCP)
- A strong desire to learn and investigate new technologies
- Familiarity with Git source control management
- Ability to work collaboratively with little supervision
- A burning desire to work in a challenging fast-paced tech environment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modern front-end frameworks (e.g., React, Next.js, or similar) and API-driven UI architectures</x:v>
      </x:c>
      <x:c r="AC11" s="68" t="str">
        <x:v>Not Applicable</x:v>
      </x:c>
      <x:c r="AD11" s="68" t="str">
        <x:v>Full-time</x:v>
      </x:c>
      <x:c r="AE11" s="68" t="str">
        <x:v>Engineering and Information Technology</x:v>
      </x:c>
      <x:c r="AF11" s="68" t="str">
        <x:v>Software Development</x:v>
      </x:c>
      <x:c r="AG11" s="68" t="str">
        <x:v>https://www.linkedin.com/jobs/search/?position=1&amp;pageNum=0&amp;keywords=AI+Engineer&amp;location=United+States&amp;distance=0</x:v>
      </x:c>
      <x:c r="AH11" s="68"/>
      <x:c r="AI11" s="68" t="str">
        <x:v>https://air.ai/</x:v>
      </x:c>
      <x:c r="AJ11" s="68" t="str">
        <x:v>Enterprise Readiness</x:v>
      </x:c>
      <x:c r="AK11" s="68" t="str">
        <x:v>Air (formerly Govini) created Enterprise Readiness, a new category of AI-native platforms that close the Readiness Gap, a dangerous chasm between what the front line needs and what the national security enterprise delivers. Air Enterprise Readiness platform aligns development, production, delivery, and sustainment into one coordinated execution system, revealing true capacity, exposing real constraints, coordinating resources, and executing at the speed of operational demands. The result: the enterprise has what it needs to succeed.
Air has offices in Arlington, Virginia and Pittsburgh, Pennsylvania.</x:v>
      </x:c>
      <x:c r="AL11" s="68"/>
      <x:c r="AM11" s="68"/>
      <x:c r="AN11" s="68"/>
      <x:c r="AO11" s="68"/>
      <x:c r="AP11" s="68"/>
    </x:row>
    <x:row r="12" s="25" customFormat="1" ht="22" customHeight="1">
      <x:c r="A12" s="68" t="str">
        <x:v>4452043370</x:v>
      </x:c>
      <x:c r="B12" s="68" t="str">
        <x:v>AI/LLM Engineer</x:v>
      </x:c>
      <x:c r="C12" s="68" t="str">
        <x:v>K&amp;K Global Talent Solutions INC.</x:v>
      </x:c>
      <x:c r="D12" s="68" t="str">
        <x:v>New York, United States</x:v>
      </x:c>
      <x:c r="E12" s="68" t="str">
        <x:v>Applied</x:v>
      </x:c>
      <x:c r="F12" s="68"/>
      <x:c r="G12" s="69"/>
      <x:c r="H12" s="85" t="str">
        <x:v>2026-08-10</x:v>
      </x:c>
      <x:c r="I12" s="85"/>
      <x:c r="J12" s="68" t="str">
        <x:v>104</x:v>
      </x:c>
      <x:c r="K12" s="70"/>
      <x:c r="L12" s="86"/>
      <x:c r="M12" s="87"/>
      <x:c r="N12" s="71"/>
      <x:c r="O12" s="88"/>
      <x:c r="P12" s="89"/>
      <x:c r="Q12" s="89"/>
      <x:c r="R12" s="89"/>
      <x:c r="S12" s="73"/>
      <x:c r="T12" s="68"/>
      <x:c r="U12" s="68" t="str">
        <x:v>https://www.linkedin.com/jobs/view/ai-llm-engineer-at-k-k-global-talent-solutions-inc-4452043370?position=7&amp;pageNum=0&amp;refId=BWZMqS91XeFqN%2FI3y0U8Uw%3D%3D&amp;trackingId=92gc6nFg%2BRtJ3xayvjTVMw%3D%3D</x:v>
      </x:c>
      <x:c r="V12" s="68" t="str">
        <x:v>92gc6nFg+RtJ3xayvjTVMw==</x:v>
      </x:c>
      <x:c r="W12" s="68" t="str">
        <x:v>BWZMqS91XeFqN/I3y0U8Uw==</x:v>
      </x:c>
      <x:c r="X12" s="68" t="str">
        <x:v>https://www.linkedin.com/company/knk-gt?trk=public_jobs_jserp-result_job-search-card-subtitle</x:v>
      </x:c>
      <x:c r="Y12" s="68" t="str">
        <x:v>https://media.licdn.com/dms/image/v2/D4E0BAQFLa8vszDvSPQ/company-logo_100_100/B4EZU4XGN_HgAQ-/0/1740407334309/knk_gts_logo?e=2147483647&amp;v=beta&amp;t=JrlaqmTUkVWwiSV8VvKHE7Fm0IUbUzpdg57Gyx6jBBM</x:v>
      </x:c>
      <x:c r="Z12" s="68"/>
      <x:c r="AA12" s="68" t="str">
        <x:v>&lt;p&gt;&lt;strong&gt;Job Title: AI/LLM Engineer&lt;/strong&gt;&lt;/p&gt;&lt;p&gt;&lt;strong&gt;Location:&lt;/strong&gt; &lt;strong&gt;New York, NY/Onsite&lt;/strong&gt;&lt;/p&gt;&lt;p&gt;&lt;strong&gt;Position Type: Full time/Permanent role&lt;/strong&gt;&lt;/p&gt;&lt;p&gt;&lt;strong&gt;Job Description&lt;/strong&gt;&lt;/p&gt;&lt;p&gt;&lt;strong&gt;Must Have Technical/Functional Skills:&lt;/strong&gt;&lt;/p&gt;&lt;p&gt;We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architectures.&lt;/p&gt;&lt;p&gt;&lt;br&gt;&lt;/p&gt;&lt;p&gt;&lt;strong&gt;Key Responsibilities&lt;/strong&gt;&lt;/p&gt;&lt;p&gt;&lt;strong&gt;Agent &amp;amp; AI System Development&lt;/strong&gt;&lt;/p&gt;&lt;p&gt;· Design and build agent-based systems using frameworks such as LangChain, LangGraph, or similar&lt;/p&gt;&lt;p&gt;· Develop intelligent components capable of reasoning, planning, and executing tasks autonomously&lt;/p&gt;&lt;p&gt;· Implement advanced cognitive patterns such as ReAct (Reasoning + Acting)&lt;/p&gt;&lt;p&gt;&lt;br&gt;&lt;/p&gt;&lt;p&gt;&lt;strong&gt;LLM Capabilities &amp;amp; Enhancements&lt;/strong&gt;&lt;/p&gt;&lt;p&gt;· Develop and integrate memory, tool usage, and context management capabilities (MCP)&lt;/p&gt;&lt;p&gt;· Build systems that leverage tool calling, chaining, and orchestration of LLM workflows&lt;/p&gt;&lt;p&gt;· Collaborate with prompt engineers to enhance model responses and performance&lt;/p&gt;&lt;p&gt;&lt;br&gt;&lt;/p&gt;&lt;p&gt;&lt;strong&gt;Engineering &amp;amp; Development &lt;/strong&gt;&lt;/p&gt;&lt;p&gt;· Write high-quality, scalable code using Python (including async programming)&lt;/p&gt;&lt;p&gt;· Build and maintain APIs and microservices for AI/agent-based applications&lt;/p&gt;&lt;p&gt;· Ensure systems are efficient, reliable, and production-ready&lt;/p&gt;&lt;p&gt;&lt;br&gt;&lt;/p&gt;&lt;p&gt;&lt;strong&gt;Guardrails &amp;amp; Responsible AI &lt;/strong&gt;&lt;/p&gt;&lt;p&gt;· Design and implement guardrails and safety mechanisms for LLM-driven systems&lt;/p&gt;&lt;p&gt;· Ensure robust handling of edge cases, failure scenarios, and unintended outputs&lt;/p&gt;&lt;p&gt;&lt;br&gt;&lt;/p&gt;&lt;p&gt;&lt;strong&gt;Data &amp;amp; Platform Integration &lt;/strong&gt;&lt;/p&gt;&lt;p&gt;· Work with modern data platforms such as:&lt;/p&gt;&lt;p&gt;o Snowflake&lt;/p&gt;&lt;p&gt;o Databricks&lt;/p&gt;&lt;p&gt;o Lakehouse architectures&lt;/p&gt;&lt;p&gt;· Integrate AI solutions with enterprise data pipelines and systems&lt;/p&gt;&lt;p&gt;&lt;br&gt;&lt;/p&gt;</x:v>
      </x:c>
      <x:c r="AB12" s="68" t="str">
        <x:v>
Job Title: AI/LLM Engineer
Location: New York, NY/Onsite
Position Type: Full time/Permanent role
Job Description
Must Have Technical/Functional Skills:
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
Key Responsibilities
Agent &amp;amp; AI System Development
· Design and build agent-based systems using frameworks such as LangChain, LangGraph, or similar
· Develop intelligent components capable of reasoning, planning, and executing tasks autonomously
· Implement advanced cognitive patterns such as ReAct (Reasoning + Acting)
LLM Capabilities &amp;amp; Enhancements
· Develop and integrate memory, tool usage, and context management capabilities (MCP)
· Build systems that leverage tool calling, chaining, and orchestration of LLM workflows
· Collaborate with prompt engineers to enhance model responses and performance
Engineering &amp;amp; Development 
· Write high-quality, scalable code using Python (including async programming)
· Build and maintain APIs and microservices for AI/agent-based applications
· Ensure systems are efficient, reliable, and production-ready
Guardrails &amp;amp; Responsible AI 
· Design and implement guardrails and safety mechanisms for LLM-driven systems
· Ensure robust handling of edge cases, failure scenarios, and unintended outputs
Data &amp;amp; Platform Integration 
· Work with modern data platforms such as:
o Snowflake
o Databricks
o Lakehouse architectures
· Integrate AI solutions with enterprise data pipelines and systems
</x:v>
      </x:c>
      <x:c r="AC12" s="68" t="str">
        <x:v>Mid-Senior level</x:v>
      </x:c>
      <x:c r="AD12" s="68" t="str">
        <x:v>Full-time</x:v>
      </x:c>
      <x:c r="AE12" s="68" t="str">
        <x:v>Information Technology</x:v>
      </x:c>
      <x:c r="AF12" s="68" t="str">
        <x:v>Information Services</x:v>
      </x:c>
      <x:c r="AG12" s="68" t="str">
        <x:v>https://www.linkedin.com/jobs/search/?position=1&amp;pageNum=0&amp;keywords=AI+Engineer&amp;location=United+States&amp;distance=0&amp;f_TPR=r86400</x:v>
      </x:c>
      <x:c r="AH12" s="68" t="str">
        <x:v>{'type': 'PostalAddress', 'streetAddress': '7901 4th St N', 'addressLocality': 'St Petersburg', 'addressRegion': 'Florida', 'postalCode': '33702', 'addressCountry': 'US'}</x:v>
      </x:c>
      <x:c r="AI12" s="68" t="str">
        <x:v>https://www.knkglobaltalents.com/</x:v>
      </x:c>
      <x:c r="AJ12" s="68" t="str">
        <x:v>Your strategic partner for IT Talents, AI Projects, IT Consulting &amp; 
System Integration across US, CA, EU, UK &amp; IND.</x:v>
      </x:c>
      <x:c r="AK12" s="68" t="str">
        <x:v>With more than 33+ years of experience, we enable organizations to build, scale, and optimize their digital capabilities across the United States, Europe, Canada, United Kingdom and India.
We deliver high-impact solutions across IT talent, AI-driven transformation, consulting, and system integration.
Our Core Services
• IT Talent Solutions — Contract, Contract-to-Hire &amp; Full-Time hiring across Software, Cloud, Data, ERP &amp; Cybersecurity (30-day SLA)
• IT Consulting &amp; Advisory — IT roadmaps, technology assessments &amp; programme governance
• AI &amp; Machine Learning — End-to-end AI/ML execution from strategy to deployment
• System Integration — Connecting enterprise, cloud &amp; legacy systems
• Cloud Services &amp; Migration — AWS, Azure &amp; Google Cloud solutions
• Digital Transformation — Modernizing systems &amp; automating workflows
• Cybersecurity — Talent &amp; advisory for security, compliance &amp; threat management
• Offshore &amp; GCC Services — Building scalable offshore teams in India
• ERP Staffing — SAP, Oracle, Microsoft Dynamics &amp; enterprise platforms
• Local Compliance — Managing regulatory, legal, and workforce compliance requirements
Industries We Serve
Banking &amp; Financial Services | Technology &amp; SaaS | Healthcare &amp; Life Sciences (supporting) | Manufacturing | Logistics &amp; Supply Chain
Why K&amp;K
- Strong Global Talent Network
- Expertise Across Modern Tech Stacks
- End-to-End Technology &amp; Talent Solutions
- Trusted by Growing &amp; Enterprise Businesses
Partner with K&amp;K to build scalable, future-ready technology ecosystems that drive long-term growth.</x:v>
      </x:c>
      <x:c r="AL12" s="68"/>
      <x:c r="AM12" s="68"/>
      <x:c r="AN12" s="68"/>
      <x:c r="AO12" s="68"/>
      <x:c r="AP12" s="68"/>
    </x:row>
    <x:row r="13" s="25" customFormat="1" ht="22" customHeight="1">
      <x:c r="A13" s="68" t="str">
        <x:v>4452075106</x:v>
      </x:c>
      <x:c r="B13" s="68" t="str">
        <x:v>AI Engineer</x:v>
      </x:c>
      <x:c r="C13" s="68" t="str">
        <x:v>Tata Consultancy Services</x:v>
      </x:c>
      <x:c r="D13" s="68" t="str">
        <x:v>Austin, TX</x:v>
      </x:c>
      <x:c r="E13" s="68" t="str">
        <x:v>Applied</x:v>
      </x:c>
      <x:c r="F13" s="68"/>
      <x:c r="G13" s="69"/>
      <x:c r="H13" s="85" t="str">
        <x:v>2026-08-10</x:v>
      </x:c>
      <x:c r="I13" s="85"/>
      <x:c r="J13" s="68" t="str">
        <x:v>26</x:v>
      </x:c>
      <x:c r="K13" s="70"/>
      <x:c r="L13" s="86"/>
      <x:c r="M13" s="87"/>
      <x:c r="N13" s="71"/>
      <x:c r="O13" s="88"/>
      <x:c r="P13" s="89"/>
      <x:c r="Q13" s="89"/>
      <x:c r="R13" s="89"/>
      <x:c r="S13" s="73"/>
      <x:c r="T13" s="68"/>
      <x:c r="U13" s="68" t="str">
        <x:v>https://www.linkedin.com/jobs/view/ai-engineer-at-tata-consultancy-services-4452075106?position=9&amp;pageNum=0&amp;refId=BWZMqS91XeFqN%2FI3y0U8Uw%3D%3D&amp;trackingId=pj%2BVnWnJhoS9veHTabToSg%3D%3D</x:v>
      </x:c>
      <x:c r="V13" s="68" t="str">
        <x:v>pj+VnWnJhoS9veHTabToSg==</x:v>
      </x:c>
      <x:c r="W13" s="68" t="str">
        <x:v>BWZMqS91XeFqN/I3y0U8Uw==</x:v>
      </x:c>
      <x:c r="X13" s="68" t="str">
        <x:v>https://in.linkedin.com/company/tata-consultancy-services?trk=public_jobs_jserp-result_job-search-card-subtitle</x:v>
      </x:c>
      <x:c r="Y13" s="68" t="str">
        <x:v>https://media.licdn.com/dms/image/v2/D4D0BAQGsGR9p4ikS5w/company-logo_100_100/company-logo_100_100/0/1708946550425/tata_consultancy_services_logo?e=2147483647&amp;v=beta&amp;t=P-PkUMh7Ks1GQY0_l7GhzQiwfyLfQpvKWwX8Tq18Yc4</x:v>
      </x:c>
      <x:c r="Z13" s="68"/>
      <x:c r="AA13" s="68" t="str">
        <x:v>&lt;strong&gt;Job Description&lt;br&gt;&lt;br&gt;&lt;/strong&gt;AI Engineer (Backend TypeScript or Python… the team is leaning to Typescript)&lt;br&gt;&lt;br&gt;&lt;ul&gt;&lt;li&gt; Strong backend engineering in TypeScript/Node.js (preferred) or Python, with production API design experience&lt;/li&gt;&lt;li&gt; Has built LLM harnesses/scaffolds with agentic loops, RAG pipelines, and tool-calling architectures&lt;/li&gt;&lt;li&gt; Experience designing multi-agent systems and integrating LLMs with internal/external APIs&lt;br&gt;&lt;br&gt;&lt;/li&gt;&lt;/ul&gt;Added Advantage: AI platform/developer tooling, evaluation &amp;amp; observability frameworks, AI security &amp;amp; guardrails&lt;br&gt;&lt;br&gt;Salary Range: $100,000-$130,000 a year&lt;br&gt;&lt;br&gt;</x:v>
      </x:c>
      <x:c r="AB13" s="68" t="str">
        <x:v>Job Description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Added Advantage: AI platform/developer tooling, evaluation &amp;amp; observability frameworks, AI security &amp;amp; guardrails
Salary Range: $100,000-$130,000 a year
</x:v>
      </x:c>
      <x:c r="AC13" s="68" t="str">
        <x:v>Not Applicable</x:v>
      </x:c>
      <x:c r="AD13" s="68" t="str">
        <x:v>Full-time</x:v>
      </x:c>
      <x:c r="AE13" s="68" t="str">
        <x:v>Engineering and Information Technology</x:v>
      </x:c>
      <x:c r="AF13" s="68" t="str">
        <x:v>IT Services and IT Consulting</x:v>
      </x:c>
      <x:c r="AG13" s="68" t="str">
        <x:v>https://www.linkedin.com/jobs/search/?position=1&amp;pageNum=0&amp;keywords=AI+Engineer&amp;location=United+States&amp;distance=0&amp;f_TPR=r86400</x:v>
      </x:c>
      <x:c r="AH13" s="68" t="str">
        <x:v>{'type': 'PostalAddress', 'streetAddress': 'Tata Consultancy Services', 'addressLocality': 'Mumbai', 'addressRegion': 'Maharashtra', 'postalCode': '400001', 'addressCountry': 'IN'}</x:v>
      </x:c>
      <x:c r="AI13" s="68" t="str">
        <x:v>https://www.tcs.com/</x:v>
      </x:c>
      <x:c r="AJ13" s="68"/>
      <x:c r="AK13" s="68" t="str">
        <x:v>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x:v>
      </x:c>
      <x:c r="AL13" s="68"/>
      <x:c r="AM13" s="68"/>
      <x:c r="AN13" s="68"/>
      <x:c r="AO13" s="68"/>
      <x:c r="AP13" s="68"/>
    </x:row>
    <x:row r="14" s="25" customFormat="1" ht="22" customHeight="1">
      <x:c r="A14" s="68" t="str">
        <x:v>4451560525</x:v>
      </x:c>
      <x:c r="B14" s="68" t="str">
        <x:v>AI/ML Engineer</x:v>
      </x:c>
      <x:c r="C14" s="68" t="str">
        <x:v>Bain &amp; Company</x:v>
      </x:c>
      <x:c r="D14" s="68" t="str">
        <x:v>Austin, TX</x:v>
      </x:c>
      <x:c r="E14" s="68" t="str">
        <x:v>Applied</x:v>
      </x:c>
      <x:c r="F14" s="68"/>
      <x:c r="G14" s="69"/>
      <x:c r="H14" s="85" t="str">
        <x:v>2026-08-10</x:v>
      </x:c>
      <x:c r="I14" s="85"/>
      <x:c r="J14" s="68" t="str">
        <x:v>200</x:v>
      </x:c>
      <x:c r="K14" s="70"/>
      <x:c r="L14" s="86"/>
      <x:c r="M14" s="87"/>
      <x:c r="N14" s="71"/>
      <x:c r="O14" s="88"/>
      <x:c r="P14" s="89"/>
      <x:c r="Q14" s="89"/>
      <x:c r="R14" s="89"/>
      <x:c r="S14" s="73"/>
      <x:c r="T14" s="68"/>
      <x:c r="U14" s="68" t="str">
        <x:v>https://www.linkedin.com/jobs/view/ai-ml-engineer-at-bain-company-4451560525?position=10&amp;pageNum=0&amp;refId=BWZMqS91XeFqN%2FI3y0U8Uw%3D%3D&amp;trackingId=sGT%2BOe9L%2BOkjqh%2F1%2Fa3%2BiQ%3D%3D</x:v>
      </x:c>
      <x:c r="V14" s="68" t="str">
        <x:v>sGT+Oe9L+Okjqh/1/a3+iQ==</x:v>
      </x:c>
      <x:c r="W14" s="68" t="str">
        <x:v>BWZMqS91XeFqN/I3y0U8Uw==</x:v>
      </x:c>
      <x:c r="X14" s="68" t="str">
        <x:v>https://www.linkedin.com/company/bain-and-company?trk=public_jobs_jserp-result_job-search-card-subtitle</x:v>
      </x:c>
      <x:c r="Y14" s="68" t="str">
        <x:v>https://media.licdn.com/dms/image/v2/D560BAQHJWWQNCmnqKg/company-logo_100_100/company-logo_100_100/0/1719929153718/bain_and_company_logo?e=2147483647&amp;v=beta&amp;t=hOsU1bVj9dJZI9c0TujGpXV69c1dwdAsI9khve8rwOk</x:v>
      </x:c>
      <x:c r="Z14" s="68"/>
      <x:c r="AA14" s="68" t="str">
        <x:v>&lt;p&gt;&lt;span&gt;&lt;strong&gt;&lt;span&gt;WHAT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v>
      </x:c>
      <x:c r="AB14" s="68" t="str">
        <x:v>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v>
      </x:c>
      <x:c r="AC14" s="68" t="str">
        <x:v>Not Applicable</x:v>
      </x:c>
      <x:c r="AD14" s="68" t="str">
        <x:v>Full-time</x:v>
      </x:c>
      <x:c r="AE14" s="68" t="str">
        <x:v>Engineering</x:v>
      </x:c>
      <x:c r="AF14" s="68" t="str">
        <x:v>Business Consulting and Services</x:v>
      </x:c>
      <x:c r="AG14" s="68" t="str">
        <x:v>https://www.linkedin.com/jobs/search/?position=1&amp;pageNum=0&amp;keywords=AI+Engineer&amp;location=United+States&amp;distance=0&amp;f_TPR=r86400</x:v>
      </x:c>
      <x:c r="AH14" s="68" t="str">
        <x:v>{'type': 'PostalAddress', 'streetAddress': '350 Boylston St', 'addressLocality': 'Boston', 'addressRegion': 'Massachusetts', 'postalCode': '02116', 'addressCountry': 'US'}</x:v>
      </x:c>
      <x:c r="AI14" s="68" t="str">
        <x:v>http://www.bain.com</x:v>
      </x:c>
      <x:c r="AJ14" s="68"/>
      <x:c r="AK14" s="68" t="str">
        <x:v>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x:v>
      </x:c>
      <x:c r="AL14" s="68"/>
      <x:c r="AM14" s="68"/>
      <x:c r="AN14" s="68"/>
      <x:c r="AO14" s="68"/>
      <x:c r="AP14" s="68"/>
    </x:row>
    <x:row r="15" s="25" customFormat="1" ht="22" customHeight="1">
      <x:c r="A15" s="68" t="str">
        <x:v>4451196390</x:v>
      </x:c>
      <x:c r="B15" s="68" t="str">
        <x:v>AI Engineer (Python, Machine Learning &amp; Generative AI)</x:v>
      </x:c>
      <x:c r="C15" s="68" t="str">
        <x:v>ATC</x:v>
      </x:c>
      <x:c r="D15" s="68" t="str">
        <x:v>Texas, United States</x:v>
      </x:c>
      <x:c r="E15" s="68" t="str">
        <x:v>Applied</x:v>
      </x:c>
      <x:c r="F15" s="68"/>
      <x:c r="G15" s="69"/>
      <x:c r="H15" s="85" t="str">
        <x:v>2026-08-10</x:v>
      </x:c>
      <x:c r="I15" s="85"/>
      <x:c r="J15" s="68" t="str">
        <x:v>200</x:v>
      </x:c>
      <x:c r="K15" s="70"/>
      <x:c r="L15" s="86"/>
      <x:c r="M15" s="87"/>
      <x:c r="N15" s="71"/>
      <x:c r="O15" s="88"/>
      <x:c r="P15" s="89"/>
      <x:c r="Q15" s="89"/>
      <x:c r="R15" s="89"/>
      <x:c r="S15" s="73"/>
      <x:c r="T15" s="68"/>
      <x:c r="U15" s="68" t="str">
        <x:v>https://www.linkedin.com/jobs/view/ai-engineer-python-machine-learning-generative-ai-at-atc-4451196390?position=5&amp;pageNum=0&amp;refId=BWZMqS91XeFqN%2FI3y0U8Uw%3D%3D&amp;trackingId=NGSQpRez5D9DWBRGujZYew%3D%3D</x:v>
      </x:c>
      <x:c r="V15" s="68" t="str">
        <x:v>NGSQpRez5D9DWBRGujZYew==</x:v>
      </x:c>
      <x:c r="W15" s="68" t="str">
        <x:v>BWZMqS91XeFqN/I3y0U8Uw==</x:v>
      </x:c>
      <x:c r="X15" s="68" t="str">
        <x:v>https://www.linkedin.com/company/american-technology-consulting?trk=public_jobs_jserp-result_job-search-card-subtitle</x:v>
      </x:c>
      <x:c r="Y15" s="68" t="str">
        <x:v>https://media.licdn.com/dms/image/v2/C4E0BAQHR71hWsUHv0g/company-logo_100_100/company-logo_100_100/0/1630586230009/american_technology_consulting_logo?e=2147483647&amp;v=beta&amp;t=5jQ1atzm92pOlcmnVypSolo7YAtJLJrCQBcBVzy8_4I</x:v>
      </x:c>
      <x:c r="Z15" s="68"/>
      <x:c r="AA15" s="68" t="str">
        <x:v>&lt;p&gt;&lt;strong&gt;Job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x:v>
      </x:c>
      <x:c r="AB15" s="68" t="str">
        <x:v>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x:v>
      </x:c>
      <x:c r="AC15" s="68" t="str">
        <x:v>Associate</x:v>
      </x:c>
      <x:c r="AD15" s="68" t="str">
        <x:v>Full-time</x:v>
      </x:c>
      <x:c r="AE15" s="68" t="str">
        <x:v>Engineering</x:v>
      </x:c>
      <x:c r="AF15" s="68" t="str">
        <x:v>Information Technology &amp; Services</x:v>
      </x:c>
      <x:c r="AG15" s="68" t="str">
        <x:v>https://www.linkedin.com/jobs/search/?position=1&amp;pageNum=0&amp;keywords=AI+Engineer&amp;location=United+States&amp;distance=0&amp;f_TPR=r86400</x:v>
      </x:c>
      <x:c r="AH15" s="68" t="str">
        <x:v>{'type': 'PostalAddress', 'streetAddress': '12951 University Ave', 'addressLocality': 'Clive', 'addressRegion': 'Iowa', 'postalCode': '50325', 'addressCountry': 'US'}</x:v>
      </x:c>
      <x:c r="AI15" s="68" t="str">
        <x:v>http://www.atc.xyz</x:v>
      </x:c>
      <x:c r="AJ15" s="68" t="str">
        <x:v>Enterprise AI | SaaS product Development
 </x:v>
      </x:c>
      <x:c r="AK15" s="68" t="str">
        <x:v>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x:v>
      </x:c>
      <x:c r="AL15" s="68"/>
      <x:c r="AM15" s="68"/>
      <x:c r="AN15" s="68"/>
      <x:c r="AO15" s="68"/>
      <x:c r="AP15" s="68"/>
    </x:row>
    <x:row r="16" s="25" customFormat="1" ht="22" customHeight="1">
      <x:c r="A16" s="68" t="str">
        <x:v>4452103275</x:v>
      </x:c>
      <x:c r="B16" s="68" t="str">
        <x:v>Agentic AI Engineer - Intelligence Engineering (San Francisco)</x:v>
      </x:c>
      <x:c r="C16" s="68" t="str">
        <x:v>Slalom</x:v>
      </x:c>
      <x:c r="D16" s="68" t="str">
        <x:v>San Francisco, CA</x:v>
      </x:c>
      <x:c r="E16" s="68" t="str">
        <x:v>Applied</x:v>
      </x:c>
      <x:c r="F16" s="68"/>
      <x:c r="G16" s="69"/>
      <x:c r="H16" s="85" t="str">
        <x:v>2026-08-11</x:v>
      </x:c>
      <x:c r="I16" s="85"/>
      <x:c r="J16" s="68" t="str">
        <x:v>59</x:v>
      </x:c>
      <x:c r="K16" s="70"/>
      <x:c r="L16" s="86"/>
      <x:c r="M16" s="87"/>
      <x:c r="N16" s="71"/>
      <x:c r="O16" s="88"/>
      <x:c r="P16" s="89"/>
      <x:c r="Q16" s="89"/>
      <x:c r="R16" s="89"/>
      <x:c r="S16" s="73"/>
      <x:c r="T16" s="68"/>
      <x:c r="U16" s="68" t="str">
        <x:v>https://www.linkedin.com/jobs/view/agentic-ai-engineer-intelligence-engineering-san-francisco-at-slalom-4452103275?position=8&amp;pageNum=0&amp;refId=BWZMqS91XeFqN%2FI3y0U8Uw%3D%3D&amp;trackingId=K1D36ZUhCFf%2BPXVLLGtZ1A%3D%3D</x:v>
      </x:c>
      <x:c r="V16" s="68" t="str">
        <x:v>K1D36ZUhCFf+PXVLLGtZ1A==</x:v>
      </x:c>
      <x:c r="W16" s="68" t="str">
        <x:v>BWZMqS91XeFqN/I3y0U8Uw==</x:v>
      </x:c>
      <x:c r="X16" s="68" t="str">
        <x:v>https://www.linkedin.com/company/slalom-consulting?trk=public_jobs_jserp-result_job-search-card-subtitle</x:v>
      </x:c>
      <x:c r="Y16" s="68" t="str">
        <x:v>https://media.licdn.com/dms/image/v2/D560BAQG5l3nKnBCEWA/company-logo_100_100/company-logo_100_100/0/1719861816497/slalom_consulting_logo?e=2147483647&amp;v=beta&amp;t=RMKFTGulqo2H4IUgFNTlPiYXXVPaHpsYx0MSR67KaB0</x:v>
      </x:c>
      <x:c r="Z16" s="68"/>
      <x:c r="AA16" s="68" t="str">
        <x:v>&lt;p&gt;&lt;strong&gt;&lt;span&gt;Who You’ll Work With&lt;/span&gt;&lt;/strong&gt;&lt;/p&gt;&lt;p&gt;&lt;span&gt;At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area.&lt;/span&gt;&lt;/p&gt;&lt;p&gt;&lt;br&gt;&lt;/p&gt;&lt;p&gt;&lt;span&gt;&lt;em&gt;&lt;span&gt;We offer a flexible working environment to balance the need to work independently, with some days that may require in-person collaboration at our office.&amp;nbsp;&lt;/span&gt;&lt;/em&gt;&lt;/span&gt;&lt;/p&gt;&lt;p&gt;&lt;br&gt;&lt;/p&gt;&lt;p&gt;&lt;span&gt;&lt;strong&gt;What You’ll Do&lt;/strong&gt;&lt;/span&gt;&lt;/p&gt;&lt;ul&gt;&lt;li&gt;Provide thought leadership on AI/ML, Generative AI, and Agentic AI internally and with clients, while contributing to a culture of collaboration, learning, and curiosity&lt;/li&gt;&lt;li&gt;Design end-to-end agentic AI architectures including planning loops, memory management, tool integration, and agent coordination patterns&lt;/li&gt;&lt;li&gt;Architect multi-agent orchestration systems using frameworks such asStrands Agents SDK,OpenAI Agents SDK, Google ADK, Lang Graph or similar for autonomous reasoning, decision-making, and task execution&lt;/li&gt;&lt;li&gt;Design and implement Model Context Protocol (MCP) server integrations for tool use, data access, and cross-system interoperability with enterprise systems&lt;/li&gt;&lt;li&gt;Build advanced retrieval-augmented generation (RAG) systems including vector databases, embedding strategies, chunking optimization, hybrid search, re-ranking, and multi-source data synthesis&lt;/li&gt;&lt;li&gt;Design and deliver AI and ML solutions across AWS, Azure, and GCP, using the right mix combination of cloud-native data services, ML tooling, LLM platforms, and software engineering practices&lt;/li&gt;&lt;li&gt;Build in Python and, where useful, other languages to deliver machine learning systems, APIs, evaluation harnesses, retrieval pipelines, agent workflows, and production services&lt;/li&gt;&lt;li&gt;Recommend and implement architecture for model and agent pipelines, CI/CD, testing, deployment, observability, andMLOps/LLMOps at scale&lt;/li&gt;&lt;li&gt;Implement evaluation frameworks (e.g., RAGAS, DeepEval, LangSmith) to measure task success rates, tool-call accuracy, and reasoning integrity for GenAI systems&lt;/li&gt;&lt;li&gt;Build guardrails for safety, compliance, and performance monitoring including human-in-the-loop (HITL) approval workflows, escalation policies, and sandbox isolation&lt;/li&gt;&lt;li&gt;Define AI governance frameworks including model risk management, responsible AI practices, regulatory compliance, and authorization boundaries for autonomous decision-making&lt;/li&gt;&lt;li&gt;Explain model and system behavior to both technical and non-technical audiences, including leading deep technical presentations, workshops, and architecture conversations&lt;/li&gt;&lt;li&gt;Collaborate with Product Owners to apply Slalom’s agile process and lead the initiation, delivery, and transition of projects in a client-facing role&lt;/li&gt;&lt;li&gt;Lead and mentor engineers and machine learning practitioners. Lead smaller projects (3 to 5 people) as the technical lead from project initiation to delivery&lt;/li&gt;&lt;li&gt;Build trusted relationships with customers and collaborate across Slalom teams to share learnings and strengthen the broader Intelligence Engineering practice&lt;/li&gt;&lt;li&gt;Will be delivery-focused approximately 85–95% of the time&lt;/li&gt;&lt;li&gt;Willingness to travel up to 50%, at peak times&lt;/li&gt;&lt;/ul&gt;&lt;p&gt;&lt;br&gt;&lt;/p&gt;&lt;p&gt;&lt;span&gt;&lt;em&gt;&lt;span&gt;Travel may be required on a limited basis dependent on your client engagement or internal meetings/events.&lt;/span&gt;&lt;/em&gt;&lt;/span&gt;&lt;/p&gt;&lt;p&gt;&lt;br&gt;&lt;/p&gt;&lt;p&gt;&lt;span&gt;&lt;strong&gt;What You’ll Bring&lt;/strong&gt;&lt;/span&gt;&lt;/p&gt;&lt;ul&gt;&lt;li&gt;3+ years of software engineering experience building and deploying production systems; experience with machine learning, applied AI, or intelligent software systems is a plus, with 1+ years focused on generative AI, LLMs, or agentic AI systems&lt;/li&gt;&lt;li&gt;Hands-on experience designing or building multi-agent systems including agent orchestration, tool integration, and autonomous decision-making workflows&lt;/li&gt;&lt;li&gt;Proficiency with at least one agentic AI or workflow framework such as Lang Graph, Strands, AutoGen, CrewAI, Semantic Kernel, OpenAI Agents SDK, Google ADK, or similar&lt;/li&gt;&lt;li&gt;Experience with RAG architectures including vector databases, embeddings, and retrieval optimization, and context management techniques such as chunking, summarization, and memory handling&lt;/li&gt;&lt;li&gt;Experience developing production-ready solutions on at least one major cloud AI platform, such as AWS Bedrock, Azure AI Foundry/OpenAI Service, GCP Vertex AI/Gemini, or Databricks; experience operating and maintaining production environments is a plus&lt;/li&gt;&lt;li&gt;Experience with AI-assisted development tools such as Claude Code, Cursor, Kiro, or similar IDE-based coding agents, including effective use for code generation, refactoring, debugging, and developer workflow acceleration&lt;/li&gt;&lt;li&gt;Strong Python development skills; experience withFastAPI, Flask, or equivalent API frameworks&lt;/li&gt;&lt;li&gt;Experience building ML or AI systems end to end, including data access, feature or retrieval flows, APIs, testing, deployment, and production support&lt;/li&gt;&lt;li&gt;Familiarity with evaluation frameworks, tracing, observability, model behavior analysis, and regression testing for GenAI systems&lt;/li&gt;&lt;li&gt;Understanding of prompt engineering, LLM fine-tuning, chain-of-thought reasoning, and structured output techniques&lt;/li&gt;&lt;li&gt;Recognized as an authority on at least one technical domain (e.g., Agentic Systems, RAG, Multi-Agent Orchestration) with generalist familiarity across AI/ML techniques&lt;/li&gt;&lt;li&gt;Ability to work across new domains and unfamiliar data structures and lead exploratory analysis when requirements are not fully defined&lt;/li&gt;&lt;li&gt;Excellent verbal and written communication skills; ability to lead highly technical presentations&lt;/li&gt;&lt;li&gt;Familiarity with Agile project delivery&lt;/li&gt;&lt;li&gt;(Preferred) Experience with Model Context Protocol (MCP) server development and integration&lt;/li&gt;&lt;li&gt;(Preferred) Experience with MLOps/LLMOps pipelines, CI/CD for ML, and model monitoring/observability&lt;/li&gt;&lt;/ul&gt;&lt;p&gt;&lt;br&gt;&lt;/p&gt;&lt;p&gt;&lt;span&gt;&lt;strong&gt;About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days.&lt;/span&gt;&lt;span&gt;&amp;nbsp;&lt;/span&gt;&lt;/p&gt;&lt;p&gt;&lt;br&gt;&lt;/p&gt;&lt;p&gt;&lt;span&gt;&lt;strong&gt;Compensation and Benefits&amp;nbsp;&lt;/strong&gt;&lt;/span&gt;&lt;/p&gt;&lt;p&gt;&lt;span&gt;Slalom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insurance.&lt;/span&gt;&lt;/p&gt;&lt;p&gt;&lt;span&gt;Slalom is committed to fair and equitable compensation practices. For this role, we are hiring at the following levels and salary ranges:&lt;/span&gt;&lt;/p&gt;&lt;p&gt;&lt;br&gt;&lt;/p&gt;&lt;ul&gt;&lt;li&gt;East Bay, San Francisco, Silicon Valley:&lt;ul&gt;&lt;li&gt;Engineer: $102,000-$125,000&lt;/li&gt;&lt;/ul&gt;&lt;/li&gt;&lt;/ul&gt;&lt;p&gt;&lt;br&gt;&lt;/p&gt;&lt;p&gt;&lt;span&gt;In addition, individuals may be eligible for an annual discretionary bonus. Actual compensation will depend upon an individual’s skills, experience, qualifications, location, and other relevant factors. The pay range is subject to change and may be modified at any time.&lt;/span&gt;&lt;/p&gt;&lt;p&gt;&lt;span&gt;&lt;strong&gt;&lt;span&gt;We will accept applicants until the position is filled.&lt;/span&gt;&lt;/strong&gt;&lt;/span&gt;&lt;/p&gt;&lt;p&gt;&lt;span&gt;&lt;strong&gt;EEO and Accommodations&lt;/strong&gt;&lt;/span&gt;&lt;/p&gt;&lt;p&gt;&lt;span&gt;&lt;em&gt;&lt;span&gt;Slalom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process.&lt;/span&gt;&lt;/em&gt;&lt;/span&gt;&lt;em&gt;&lt;span&gt; &lt;/span&gt;&lt;/em&gt;&lt;/p&gt;</x:v>
      </x:c>
      <x:c r="AB16" s="68" t="str">
        <x:v>
Who You’ll Work With
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
We offer a flexible working environment to balance the need to work independently, with some days that may require in-person collaboration at our office.&amp;nbsp;
What You’ll Do
- Provide thought leadership on AI/ML, Generative AI, and Agentic AI internally and with clients, while contributing to a culture of collaboration, learning, and curiosity
- Design end-to-end agentic AI architectures including planning loops, memory management, tool integration, and agent coordination patterns
- Architect multi-agent orchestration systems using frameworks such asStrands Agents SDK,OpenAI Agents SDK, Google ADK, Lang Graph or similar for autonomous reasoning, decision-making, and task execution
- Design and implement Model Context Protocol (MCP) server integrations for tool use, data access, and cross-system interoperability with enterprise systems
- Build advanced retrieval-augmented generation (RAG) systems including vector databases, embedding strategies, chunking optimization, hybrid search, re-ranking, and multi-source data synthesis
- Design and deliver AI and ML solutions across AWS, Azure, and GCP, using the right mix combination of cloud-native data services, ML tooling, LLM platforms, and software engineering practices
- Build in Python and, where useful, other languages to deliver machine learning systems, APIs, evaluation harnesses, retrieval pipelines, agent workflows, and production services
- Recommend and implement architecture for model and agent pipelines, CI/CD, testing, deployment, observability, andMLOps/LLMOps at scale
- Implement evaluation frameworks (e.g., RAGAS, DeepEval, LangSmith) to measure task success rates, tool-call accuracy, and reasoning integrity for GenAI systems
- Build guardrails for safety, compliance, and performance monitoring including human-in-the-loop (HITL) approval workflows, escalation policies, and sandbox isolation
- Define AI governance frameworks including model risk management, responsible AI practices, regulatory compliance, and authorization boundaries for autonomous decision-making
- Explain model and system behavior to both technical and non-technical audiences, including leading deep technical presentations, workshops, and architecture conversations
- Collaborate with Product Owners to apply Slalom’s agile process and lead the initiation, delivery, and transition of projects in a client-facing role
- Lead and mentor engineers and machine learning practitioners. Lead smaller projects (3 to 5 people) as the technical lead from project initiation to delivery
- Build trusted relationships with customers and collaborate across Slalom teams to share learnings and strengthen the broader Intelligence Engineering practice
- Will be delivery-focused approximately 85–95% of the time
- Willingness to travel up to 50%, at peak times
Travel may be required on a limited basis dependent on your client engagement or internal meetings/events.
What You’ll Bring
- 3+ years of software engineering experience building and deploying production systems; experience with machine learning, applied AI, or intelligent software systems is a plus, with 1+ years focused on generative AI, LLMs, or agentic AI systems
- Hands-on experience designing or building multi-agent systems including agent orchestration, tool integration, and autonomous decision-making workflows
- Proficiency with at least one agentic AI or workflow framework such as Lang Graph, Strands, AutoGen, CrewAI, Semantic Kernel, OpenAI Agents SDK, Google ADK, or similar
- Experience with RAG architectures including vector databases, embeddings, and retrieval optimization, and context management techniques such as chunking, summarization, and memory handling
- Experience developing production-ready solutions on at least one major cloud AI platform, such as AWS Bedrock, Azure AI Foundry/OpenAI Service, GCP Vertex AI/Gemini, or Databricks; experience operating and maintaining production environments is a plus
- Experience with AI-assisted development tools such as Claude Code, Cursor, Kiro, or similar IDE-based coding agents, including effective use for code generation, refactoring, debugging, and developer workflow acceleration
- Strong Python development skills; experience withFastAPI, Flask, or equivalent API frameworks
- Experience building ML or AI systems end to end, including data access, feature or retrieval flows, APIs, testing, deployment, and production support
- Familiarity with evaluation frameworks, tracing, observability, model behavior analysis, and regression testing for GenAI systems
- Understanding of prompt engineering, LLM fine-tuning, chain-of-thought reasoning, and structured output techniques
- Recognized as an authority on at least one technical domain (e.g., Agentic Systems, RAG, Multi-Agent Orchestration) with generalist familiarity across AI/ML techniques
- Ability to work across new domains and unfamiliar data structures and lead exploratory analysis when requirements are not fully defined
- Excellent verbal and written communication skills; ability to lead highly technical presentations
- Familiarity with Agile project delivery
- (Preferred) Experience with Model Context Protocol (MCP) server development and integration
- (Preferred) Experience with MLOps/LLMOps pipelines, CI/CD for ML, and model monitoring/observability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days.&amp;nbsp;
Compensation and Benefits&amp;nbsp;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salary ranges:
- East Bay, San Francisco, Silicon Valley:
- Engineer: $102,000-$125,000
In addition, individuals may be eligible for an annual discretionary bonus. Actual compensation will depend upon an individual’s skills, experience, qualifications, location, and other relevant factors. The pay range is subject to change and may be modified at any time.
We will accept applicants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x:v>
      </x:c>
      <x:c r="AC16" s="68" t="str">
        <x:v>Not Applicable</x:v>
      </x:c>
      <x:c r="AD16" s="68" t="str">
        <x:v>Full-time</x:v>
      </x:c>
      <x:c r="AE16" s="68" t="str">
        <x:v>Engineering and Information Technology</x:v>
      </x:c>
      <x:c r="AF16" s="68" t="str">
        <x:v>Business Consulting and Services</x:v>
      </x:c>
      <x:c r="AG16" s="68" t="str">
        <x:v>https://www.linkedin.com/jobs/search/?position=1&amp;pageNum=0&amp;keywords=AI+Engineer&amp;location=United+States&amp;distance=0&amp;f_TPR=r86400</x:v>
      </x:c>
      <x:c r="AH16" s="68" t="str">
        <x:v>{'type': 'PostalAddress', 'streetAddress': '821 2nd Ave.', 'addressLocality': 'Seattle', 'addressRegion': 'WA', 'postalCode': '98104', 'addressCountry': 'US'}</x:v>
      </x:c>
      <x:c r="AI16" s="68" t="str">
        <x:v>https://www.slalom.com/</x:v>
      </x:c>
      <x:c r="AJ16" s="68" t="str">
        <x:v>We help people and organizations dream bigger, move faster, and build better tomorrows for all.</x:v>
      </x:c>
      <x:c r="AK16" s="68" t="str">
        <x:v>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v>
      </x:c>
      <x:c r="AL16" s="68"/>
      <x:c r="AM16" s="68"/>
      <x:c r="AN16" s="68"/>
      <x:c r="AO16" s="68"/>
      <x:c r="AP16" s="68"/>
    </x:row>
    <x:row r="17" s="25" customFormat="1" ht="22" customHeight="1">
      <x:c r="A17" s="68" t="str">
        <x:v>4451616068</x:v>
      </x:c>
      <x:c r="B17" s="68" t="str">
        <x:v>AI/ML Engineer</x:v>
      </x:c>
      <x:c r="C17" s="68" t="str">
        <x:v>Tech Economy</x:v>
      </x:c>
      <x:c r="D17" s="68" t="str">
        <x:v>Greater Houston</x:v>
      </x:c>
      <x:c r="E17" s="68" t="str">
        <x:v>Applied</x:v>
      </x:c>
      <x:c r="F17" s="68"/>
      <x:c r="G17" s="69"/>
      <x:c r="H17" s="85" t="str">
        <x:v>2026-08-11</x:v>
      </x:c>
      <x:c r="I17" s="85"/>
      <x:c r="J17" s="68" t="str">
        <x:v>56</x:v>
      </x:c>
      <x:c r="K17" s="70"/>
      <x:c r="L17" s="86"/>
      <x:c r="M17" s="87"/>
      <x:c r="N17" s="71"/>
      <x:c r="O17" s="88"/>
      <x:c r="P17" s="89"/>
      <x:c r="Q17" s="89"/>
      <x:c r="R17" s="89"/>
      <x:c r="S17" s="73"/>
      <x:c r="T17" s="68"/>
      <x:c r="U17" s="68" t="str">
        <x:v>https://www.linkedin.com/jobs/view/ai-ml-engineer-at-tech-economy-4451616068?position=4&amp;pageNum=0&amp;refId=BWZMqS91XeFqN%2FI3y0U8Uw%3D%3D&amp;trackingId=9%2FQcNmLh6mFLbrDFhHFBzA%3D%3D</x:v>
      </x:c>
      <x:c r="V17" s="68" t="str">
        <x:v>9/QcNmLh6mFLbrDFhHFBzA==</x:v>
      </x:c>
      <x:c r="W17" s="68" t="str">
        <x:v>BWZMqS91XeFqN/I3y0U8Uw==</x:v>
      </x:c>
      <x:c r="X17" s="68" t="str">
        <x:v>https://uk.linkedin.com/company/tech-economy-limited?trk=public_jobs_jserp-result_job-search-card-subtitle</x:v>
      </x:c>
      <x:c r="Y17" s="68" t="str">
        <x:v>https://media.licdn.com/dms/image/v2/C4D0BAQHQ0gjkgfHrxQ/company-logo_100_100/company-logo_100_100/0/1630570389803/tech_economy_partners_logo?e=2147483647&amp;v=beta&amp;t=zgNSd56ZvUbK77RDSDbdqQInfuuDCNhr9Sq34JCFdc4</x:v>
      </x:c>
      <x:c r="Z17" s="68"/>
      <x:c r="AA17" s="68" t="str">
        <x:v>&lt;strong&gt;What Makes Us a Great Place To Work&lt;br&gt;&lt;br&gt;&lt;/strong&gt;We are proud to be consistently recognized as one of the world’s best places to work. We are currently the top ranked consulting firm on Glassdoor’s Best Places to Work list and have earned the #1 overall spot a record seven times.&lt;br&gt;&lt;br&gt;Extraordinary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personally.&lt;br&gt;&lt;br&gt;&lt;strong&gt;Who You’ll Work With&lt;br&gt;&lt;br&gt;&lt;/strong&gt;As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planning.&lt;br&gt;&lt;br&gt;Bain &amp;amp; Company is developing a suite of cutting-edge data and software solutions designed to revolutionize how the private equity industry uses data for investment insights and decision-making.&lt;br&gt;&lt;br&gt;The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businesses.&lt;br&gt;&lt;br&gt;&lt;strong&gt;WHERE YOU’LL FIT WITHIN THE TEAM&lt;br&gt;&lt;br&gt;&lt;/strong&gt;AI/ML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builds.&lt;br&gt;&lt;br&gt;&lt;strong&gt;What You'll Do&lt;br&gt;&lt;br&gt;&lt;/strong&gt;&lt;strong&gt;Core ML and Data Pipeline Engineering (65%) &lt;br&gt;&lt;br&gt;&lt;/strong&gt;&lt;ul&gt;&lt;li&gt;Implement and maintain components of production data and ML pipelines: ingestion jobs, feature and embedding pipelines, and Celery-based workers, under the direction of senior engineers.&lt;/li&gt;&lt;li&gt;Build and support pieces of the RAG and retrieval stack: chunking, embedding calls, indexing into pgvector, and basic retrieval and re-ranking logic, following established patterns.&lt;/li&gt;&lt;li&gt;Write production-quality Python: type hints, tests, and linting to the team's standards, with code reviewed by senior engineers before merge.&lt;/li&gt;&lt;li&gt;Instrument the pipelines and services you own with structured logs and metrics, and help build the dashboards and alerts that make issues visible.&lt;/li&gt;&lt;li&gt;Reproduce, triage, and fix bugs in pipeline and serving code, escalating ambiguous or high-severity issues to senior engineers.&lt;br&gt;&lt;br&gt;&lt;/li&gt;&lt;/ul&gt;&lt;strong&gt;Collaboration and Support (25%)&lt;br&gt;&lt;br&gt;&lt;/strong&gt;&lt;ul&gt;&lt;li&gt;Partner with Data Engineers, Data Scientists, and the Agent / AI squad on defined tasks within larger pipeline, retrieval, and evaluation workstreams.&lt;/li&gt;&lt;li&gt;Contribute test cases and sample data to evaluation harnesses and golden datasets, under the direction of senior engineers.&lt;/li&gt;&lt;li&gt;Participate in design reviews and code reviews, both as reviewer and reviewee, building judgment about production trade-offs.&lt;/li&gt;&lt;li&gt;Keep runbooks, READMEs, and pipeline documentation current as you build and change the systems you touch.&lt;br&gt;&lt;br&gt;&lt;/li&gt;&lt;/ul&gt;&lt;strong&gt;Other (10%):&lt;br&gt;&lt;br&gt;&lt;/strong&gt;&lt;ul&gt;&lt;li&gt;Use AI coding assistants to accelerate scaffolding and boilerplate, and review generated code against team standards before committing.&lt;/li&gt;&lt;li&gt;Use LLMs to draft documentation and status notes; validate and refine outputs before sharing them.&lt;/li&gt;&lt;li&gt;Take on interviewing and hiring-loop participation as your experience grows.&lt;br&gt;&lt;br&gt;&lt;/li&gt;&lt;/ul&gt;&lt;strong&gt;About You&lt;br&gt;&lt;br&gt;&lt;/strong&gt;&lt;ul&gt;&lt;li&gt;Bachelor's degree in Computer Science, Engineering, Machine Learning, Data Science, Statistics, or a related field (or equivalent practical experience).&lt;/li&gt;&lt;li&gt;2+ years of experience building software, data, or ML systems, ideally including some exposure to production pipelines or services.&lt;/li&gt;&lt;li&gt;Exposure to model deployment, serving, or monitoring is a plus.&lt;/li&gt;&lt;li&gt;Experience working with structured feedback and code review, and a track record of improving code quality over time.&lt;/li&gt;&lt;li&gt;Experience collaborating with Data Engineers, Data Scientists, or the Agent / AI squad to ship features that depend on retrieval or ML outputs.&lt;/li&gt;&lt;li&gt;Comfort with Python as a primary language; exposure to a modern cloud environment (Databricks, Azure, or AWS) is a plus.&lt;/li&gt;&lt;li&gt;Demonstrated ability to take a well-scoped task from specification to a tested, reviewed implementation with limited supervision.&lt;br&gt;&lt;br&gt;&lt;/li&gt;&lt;/ul&gt;&lt;strong&gt;ML engineering / LLMOps&lt;br&gt;&lt;br&gt;&lt;/strong&gt;&lt;ul&gt;&lt;li&gt;Working knowledge of Python for data and ML workloads: type hints, Pydantic, pytest, Ruff, with production-quality pipeline and serving code that would pass a code review.&lt;/li&gt;&lt;li&gt;Familiarity with MLflow concepts: experiment tracking, model registry, and promotion workflows.&lt;/li&gt;&lt;li&gt;Exposure to LLMOps concepts: prompt versioning, model gateways (e.g., Portkey), and inference orchestration frameworks (LangChain, LlamaIndex, or equivalent).&lt;/li&gt;&lt;li&gt;Good understanding of model-serving concepts: latency, throughput, and batching, even without direct production ownership yet.&lt;/li&gt;&lt;li&gt;RAG pipeline building blocks: chunking strategies, embeddings, and vector stores such as pgvector; able to contribute to indexing and retrieval jobs under senior guidance.&lt;/li&gt;&lt;li&gt;Understanding of model and pipeline evaluation basics: what a golden dataset is, and why regression gates matter in CI.&lt;/li&gt;&lt;li&gt;Docker: comfortable containerising pipeline or serving code and running it locally for testing.&lt;/li&gt;&lt;li&gt;Git: confident with PR-based workflows.&lt;br&gt;&lt;br&gt;&lt;/li&gt;&lt;/ul&gt;&lt;strong&gt;Generative AI and agentic systems&lt;br&gt;&lt;br&gt;&lt;/strong&gt;&lt;ul&gt;&lt;li&gt;Contributes to inference and retrieval services that feed agent workflows as structured tool responses.&lt;/li&gt;&lt;li&gt;Supports RAG quality work: helps build and run recall and precision checks against defined benchmarks.&lt;/li&gt;&lt;li&gt;Exposure to LLM-as-judge evaluation patterns, even if applied under senior-engineer direction.&lt;br&gt;&lt;br&gt;&lt;/li&gt;&lt;/ul&gt;&lt;strong&gt;General&lt;br&gt;&lt;br&gt;&lt;/strong&gt;&lt;ul&gt;&lt;li&gt;Treats testing, observability, and documentation as part of the job, not an afterthought, even on smaller tasks.&lt;/li&gt;&lt;li&gt;Raises questions and surfaces uncertainty early rather than guessing silently on ambiguous requirements.&lt;/li&gt;&lt;li&gt;Uses AI tooling to move faster, and reviews all generated code and documentation critically before it enters the codebase.&lt;/li&gt;&lt;li&gt;Communicates clearly with teammates about progress, blockers, and trade-offs; asks for help early.&lt;/li&gt;&lt;li&gt;This role follows a hybrid model, requiring in-office presence at least 1 day per week&lt;br&gt;&lt;br&gt;&lt;/li&gt;&lt;/ul&gt;&lt;strong&gt;U.s. Compensation Information&lt;br&gt;&lt;br&gt;&lt;/strong&gt;Compensation for this role includes base salary, annual discretionary performance bonus, 401(k) plan with an annual employer contribution based on years of service and Bain’s best in class benefits package (details listed below).&lt;br&gt;&lt;br&gt;&lt;strong&gt;Role&lt;br&gt;&lt;br&gt;&lt;/strong&gt;Some local governments in the United States require a good-faith, reasonable salary range be included in job postings for open roles. The estimated annualized compensation for this role is as follows:&lt;br&gt;&lt;br&gt;In Atlanta, the good-faith, reasonable annualized full-time salary range for this role is between $79,250 - $86,500&lt;br&gt;&lt;br&gt;In Texas, the good-faith, reasonable annualized full-time salary range for this role is between $83,313 - $90,750&lt;br&gt;&lt;br&gt;In Chicago, the good-faith, reasonable annualized full-time salary range for this role is between $87,438 - $95,250&lt;br&gt;&lt;br&gt;Placement within these ranges will vary based on factors such as experience, education, training, and skill level.&lt;br&gt;&lt;br&gt;Compensation also includes a discretionary annual performance bonus, 401(k) plan with employer contribution, and Bain’s best-in-class benefits—including full premium coverage for medical, dental, and vision, generous paid time off, and more.&lt;br&gt;&lt;br&gt;Annual discretionary performance bonus&lt;br&gt;&lt;br&gt;This role may also be eligible for other elements of discretionary compensation&lt;br&gt;&lt;br&gt;4.5% 401(k) company contribution, which increases after 3 years of service and is 100% vested upon start date&lt;br&gt;&lt;br&gt;Bain &amp;amp; Company's comprehensive benefits and wellness program is designed to help employees achieve personal independence, protection and stability in the areas most important to you and your family.&lt;br&gt;&lt;br&gt;Bain pays 100% individual employee premiums for medical, dental and vision programs, offering one of the most comprehensive medical plans for employees without impacting your paycheck&lt;br&gt;&lt;br&gt;Generous paid time off, including parental leave, sick leave and paid holidays&lt;br&gt;&lt;br&gt;Fully vested 401(k) company contribution&lt;br&gt;&lt;br&gt;Paid Life and Long-Term Disability insurance&lt;br&gt;&lt;br&gt;Annual fitness reimbursements</x:v>
      </x:c>
      <x:c r="AB17" s="68" t="str">
        <x:v>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Role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v>
      </x:c>
      <x:c r="AC17" s="68" t="str">
        <x:v>Not Applicable</x:v>
      </x:c>
      <x:c r="AD17" s="68" t="str">
        <x:v>Full-time</x:v>
      </x:c>
      <x:c r="AE17" s="68" t="str">
        <x:v>Engineering and Information Technology</x:v>
      </x:c>
      <x:c r="AF17" s="68" t="str">
        <x:v>Business Consulting and Services</x:v>
      </x:c>
      <x:c r="AG17" s="68" t="str">
        <x:v>https://www.linkedin.com/jobs/search/?position=1&amp;pageNum=0&amp;keywords=AI+Engineer&amp;location=United+States&amp;distance=0&amp;f_TPR=r86400</x:v>
      </x:c>
      <x:c r="AH17" s="68" t="str">
        <x:v>{'type': 'PostalAddress', 'streetAddress': '16-19 Eastcastle Street', 'addressLocality': 'London', 'addressRegion': 'England', 'postalCode': 'W1W 8DY', 'addressCountry': 'GB'}</x:v>
      </x:c>
      <x:c r="AI17" s="68" t="str">
        <x:v>https://techeconomy.net</x:v>
      </x:c>
      <x:c r="AJ17" s="68" t="str">
        <x:v>Strategic Advisers to Technology-Enabled Companies and Private Equity Investors</x:v>
      </x:c>
      <x:c r="AK17" s="68" t="str">
        <x:v>Tech Economy is a technology focused specialty consulting firm. We conduct buy-side and sell-side Tech DDs as well as value creation assignments. Our clients include leading global and mid-market PE firms on both sides of the Atlantic, as well as their software and tech enabled portfolio companies. We cover the entire PE ownership lifecycle: from pre-investment technology diligence, post-closing 100-day planning, tech value creation, through to Vendor DD exit preparation.
Our firm works and has deep experience across a wide range of technology segments including, ERP, Healthcare IT, E-commerce, Cybersecurity, E-Learning, IT services, Data Analytics, and AI.
We know what it takes to run a successful technology company and how to ensure investment transaction completion. We have the expertise, experience, and resources to deliver rapid and actionable output and create lasting value for our clients.</x:v>
      </x:c>
      <x:c r="AL17" s="68"/>
      <x:c r="AM17" s="68"/>
      <x:c r="AN17" s="68"/>
      <x:c r="AO17" s="68"/>
      <x:c r="AP17" s="68"/>
    </x:row>
    <x:row r="18" s="25" customFormat="1" ht="22" customHeight="1">
      <x:c r="A18" s="68" t="str">
        <x:v>4432375310</x:v>
      </x:c>
      <x:c r="B18" s="68" t="str">
        <x:v>AI/ML Engineer</x:v>
      </x:c>
      <x:c r="C18" s="68" t="str">
        <x:v>Hashlist</x:v>
      </x:c>
      <x:c r="D18" s="68" t="str">
        <x:v>Auburn Hills, MI</x:v>
      </x:c>
      <x:c r="E18" s="68" t="str">
        <x:v>Applied</x:v>
      </x:c>
      <x:c r="F18" s="68"/>
      <x:c r="G18" s="69"/>
      <x:c r="H18" s="85" t="str">
        <x:v>2026-08-11</x:v>
      </x:c>
      <x:c r="I18" s="85"/>
      <x:c r="J18" s="68" t="str">
        <x:v>200</x:v>
      </x:c>
      <x:c r="K18" s="70"/>
      <x:c r="L18" s="86"/>
      <x:c r="M18" s="87"/>
      <x:c r="N18" s="71"/>
      <x:c r="O18" s="88"/>
      <x:c r="P18" s="89"/>
      <x:c r="Q18" s="89"/>
      <x:c r="R18" s="89"/>
      <x:c r="S18" s="73"/>
      <x:c r="T18" s="68"/>
      <x:c r="U18" s="68" t="str">
        <x:v>https://www.linkedin.com/jobs/view/ai-ml-engineer-at-hashlist-4432375310?position=6&amp;pageNum=0&amp;refId=BWZMqS91XeFqN%2FI3y0U8Uw%3D%3D&amp;trackingId=0jcgBl5aHR2wfDLfnrxdFQ%3D%3D</x:v>
      </x:c>
      <x:c r="V18" s="68" t="str">
        <x:v>0jcgBl5aHR2wfDLfnrxdFQ==</x:v>
      </x:c>
      <x:c r="W18" s="68" t="str">
        <x:v>BWZMqS91XeFqN/I3y0U8Uw==</x:v>
      </x:c>
      <x:c r="X18" s="68" t="str">
        <x:v>https://www.linkedin.com/company/hashlist?trk=public_jobs_jserp-result_job-search-card-subtitle</x:v>
      </x:c>
      <x:c r="Y18" s="68" t="str">
        <x:v>https://media.licdn.com/dms/image/v2/C4D0BAQGofOBg3f4OEQ/company-logo_100_100/company-logo_100_100/0/1658843664544/talentrator_logo?e=2147483647&amp;v=beta&amp;t=68CqZEHSUlh5WaYPqyCS8YCwR8yC9FbVRjwGTviPwJM</x:v>
      </x:c>
      <x:c r="Z18" s="68"/>
      <x:c r="AA18" s="68" t="str">
        <x:v>&lt;p&gt;&lt;strong&gt;About the job&lt;/strong&gt;&lt;/p&gt;&lt;p&gt;&lt;br&gt;&lt;/p&gt;&lt;p&gt;We're looking for an AI/ML Engineer to join a forward-thinking Software Engineering organisation within a major global automotive OEM.&lt;/p&gt;&lt;p&gt;&lt;br&gt;&lt;/p&gt;&lt;p&gt;The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function.&lt;/p&gt;&lt;p&gt;&lt;br&gt;&lt;/p&gt;&lt;p&gt;&lt;strong&gt;Engagement detail&lt;/strong&gt;&lt;/p&gt;&lt;p&gt;&lt;br&gt;&lt;/p&gt;&lt;ul&gt;&lt;li&gt;Location: Auburn Hills&lt;/li&gt;&lt;li&gt;Contract type: Permanent or freelance&lt;/li&gt;&lt;li&gt;Start date: ASAP&lt;/li&gt;&lt;li&gt;Work model: Hybrid&lt;/li&gt;&lt;li&gt;Benefits: Competitive package; high-impact, high-visibility role within a major software-defined vehicle programme&lt;/li&gt;&lt;/ul&gt;&lt;p&gt;&lt;br&gt;&lt;/p&gt;&lt;p&gt;&lt;strong&gt;Responsibilities&lt;/strong&gt;&lt;/p&gt;&lt;p&gt;&lt;br&gt;&lt;/p&gt;&lt;ul&gt;&lt;li&gt;Design and implement ML models using structured, time-series, and unstructured data&lt;/li&gt;&lt;li&gt;Apply AI/ML techniques pragmatically to engineering, quality, and product use cases&lt;/li&gt;&lt;li&gt;Build production-ready AI systems including data pipelines, feature engineering, model training and inference services, and integration with downstream systems&lt;/li&gt;&lt;li&gt;Develop agentic solutions combining LLMs and other systems&lt;/li&gt;&lt;li&gt;Contribute to reusable AI/ML components and shared engineering frameworks&lt;/li&gt;&lt;li&gt;Write clean, maintainable, and testable Python code&lt;/li&gt;&lt;li&gt;Own implementation tasks from design through deployment readiness&lt;/li&gt;&lt;li&gt;Work closely with stakeholders to clarify requirements and iterate solutions&lt;/li&gt;&lt;li&gt;Prepare solutions for operationalisation in partnership with MLOps teams&lt;/li&gt;&lt;li&gt;Develop lightweight front-end components or internal tools — dashboards, experimentation interfaces, or demonstration tools — where required&lt;/li&gt;&lt;/ul&gt;&lt;p&gt;&lt;br&gt;&lt;/p&gt;&lt;p&gt;&lt;strong&gt;Qualifications&lt;/strong&gt;&lt;/p&gt;&lt;p&gt;&lt;br&gt;&lt;/p&gt;&lt;ul&gt;&lt;li&gt;Strong software engineering fundamentals&lt;/li&gt;&lt;li&gt;Practical experience applying machine learning in real production systems&lt;/li&gt;&lt;li&gt;Proficiency in Python and common ML libraries&lt;/li&gt;&lt;li&gt;Ability to work across data, modelling, and software concerns&lt;/li&gt;&lt;li&gt;Degree in engineering, computer science, applied mathematics, or a related field&lt;/li&gt;&lt;li&gt;Experience with cloud-based data or ML platforms is a plus&lt;/li&gt;&lt;li&gt;Experience building agentic solutions is advantageous&lt;/li&gt;&lt;li&gt;Familiarity with MLOps concepts — CI/CD for ML, monitoring, retraining — is beneficial&lt;/li&gt;&lt;li&gt;Frontend or full-stack experience supporting AI tools is a plus&lt;/li&gt;&lt;li&gt;Background in regulated or industrial engineering environments is advantageous&lt;/li&gt;&lt;/ul&gt;&lt;p&gt;&lt;br&gt;&lt;/p&gt;&lt;p&gt;&lt;strong&gt;Next Steps&lt;/strong&gt;&lt;/p&gt;&lt;p&gt;&lt;br&gt;&lt;/p&gt;&lt;ul&gt;&lt;li&gt;Click Apply&lt;/li&gt;&lt;li&gt;We will review your application. If qualified, you'll be accepted into the Hashlist network and considered for this and other relevant projects&lt;/li&gt;&lt;/ul&gt;</x:v>
      </x:c>
      <x:c r="AB18" s="68" t="str">
        <x:v>
About the job
We're looking for an AI/ML Engineer to join a forward-thinking Software Engineering organisation within a major global automotive OEM.
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
Engagement detail
- Location: Auburn Hills
- Contract type: Permanent or freelance
- Start date: ASAP
- Work model: Hybrid
- Benefits: Competitive package; high-impact, high-visibility role within a major software-defined vehicle programme
Responsibilities
- Design and implement ML models using structured, time-series, and unstructured data
- Apply AI/ML techniques pragmatically to engineering, quality, and product use cases
- Build production-ready AI systems including data pipelines, feature engineering, model training and inference services, and integration with downstream systems
- Develop agentic solutions combining LLMs and other systems
- Contribute to reusable AI/ML components and shared engineering frameworks
- Write clean, maintainable, and testable Python code
- Own implementation tasks from design through deployment readiness
- Work closely with stakeholders to clarify requirements and iterate solutions
- Prepare solutions for operationalisation in partnership with MLOps teams
- Develop lightweight front-end components or internal tools — dashboards, experimentation interfaces, or demonstration tools — where required
Qualifications
- Strong software engineering fundamentals
- Practical experience applying machine learning in real production systems
- Proficiency in Python and common ML libraries
- Ability to work across data, modelling, and software concerns
- Degree in engineering, computer science, applied mathematics, or a related field
- Experience with cloud-based data or ML platforms is a plus
- Experience building agentic solutions is advantageous
- Familiarity with MLOps concepts — CI/CD for ML, monitoring, retraining — is beneficial
- Frontend or full-stack experience supporting AI tools is a plus
- Background in regulated or industrial engineering environments is advantageous
Next Steps
- Click Apply
- We will review your application. If qualified, you'll be accepted into the Hashlist network and considered for this and other relevant projects</x:v>
      </x:c>
      <x:c r="AC18" s="68" t="str">
        <x:v>Mid-Senior level</x:v>
      </x:c>
      <x:c r="AD18" s="68" t="str">
        <x:v>Other</x:v>
      </x:c>
      <x:c r="AE18" s="68" t="str">
        <x:v>General Business</x:v>
      </x:c>
      <x:c r="AF18" s="68" t="str">
        <x:v>Motor Vehicle Manufacturing</x:v>
      </x:c>
      <x:c r="AG18" s="68" t="str">
        <x:v>https://www.linkedin.com/jobs/search/?position=1&amp;pageNum=0&amp;keywords=AI+Engineer&amp;location=United+States&amp;distance=0&amp;f_TPR=r86400</x:v>
      </x:c>
      <x:c r="AH18" s="68" t="str">
        <x:v>{'type': 'PostalAddress', 'addressLocality': 'San Francisco', 'addressRegion': 'California', 'addressCountry': 'US'}</x:v>
      </x:c>
      <x:c r="AI18" s="68" t="str">
        <x:v>http://www.hashlist.com</x:v>
      </x:c>
      <x:c r="AJ18" s="68" t="str">
        <x:v>Tools &amp; Services to Build Physical AI</x:v>
      </x:c>
      <x:c r="AK18" s="68" t="str">
        <x:v>For decades, vehicles and robots were mechanical products.
Today, they run on chips, software &amp; AI.
The bottleneck is integration.
Hashlist is a leading integrator for physical AI, vehicle platforms, and safety critical systems.
We build machines from the future.
Our work is supported by AI-native development tools and a service delivery network of
100,000+ integration experts for an incredible speed of execution.
https://www.hashlist.com/</x:v>
      </x:c>
      <x:c r="AL18" s="68"/>
      <x:c r="AM18" s="68"/>
      <x:c r="AN18" s="68"/>
      <x:c r="AO18" s="68"/>
      <x:c r="AP18" s="68"/>
    </x:row>
    <x:row r="19" s="25" customFormat="1" ht="22" customHeight="1">
      <x:c r="A19" s="68" t="str">
        <x:v>4451566377</x:v>
      </x:c>
      <x:c r="B19" s="68" t="str">
        <x:v>AI/ML Engineer</x:v>
      </x:c>
      <x:c r="C19" s="68" t="str">
        <x:v>Bain &amp; Company</x:v>
      </x:c>
      <x:c r="D19" s="68" t="str">
        <x:v>Houston, TX</x:v>
      </x:c>
      <x:c r="E19" s="68" t="str">
        <x:v>Applied</x:v>
      </x:c>
      <x:c r="F19" s="68"/>
      <x:c r="G19" s="69"/>
      <x:c r="H19" s="85" t="str">
        <x:v>2026-08-10</x:v>
      </x:c>
      <x:c r="I19" s="85"/>
      <x:c r="J19" s="68" t="str">
        <x:v>193</x:v>
      </x:c>
      <x:c r="K19" s="70"/>
      <x:c r="L19" s="86"/>
      <x:c r="M19" s="87"/>
      <x:c r="N19" s="71"/>
      <x:c r="O19" s="88"/>
      <x:c r="P19" s="89"/>
      <x:c r="Q19" s="89"/>
      <x:c r="R19" s="89"/>
      <x:c r="S19" s="73"/>
      <x:c r="T19" s="68"/>
      <x:c r="U19" s="68" t="str">
        <x:v>https://www.linkedin.com/jobs/view/ai-ml-engineer-at-bain-company-4451566377?position=2&amp;pageNum=0&amp;refId=BWZMqS91XeFqN%2FI3y0U8Uw%3D%3D&amp;trackingId=q3Md2xn2JeIXmkEu3v9nkw%3D%3D</x:v>
      </x:c>
      <x:c r="V19" s="68" t="str">
        <x:v>q3Md2xn2JeIXmkEu3v9nkw==</x:v>
      </x:c>
      <x:c r="W19" s="68" t="str">
        <x:v>BWZMqS91XeFqN/I3y0U8Uw==</x:v>
      </x:c>
      <x:c r="X19" s="68" t="str">
        <x:v>https://www.linkedin.com/company/bain-and-company?trk=public_jobs_jserp-result_job-search-card-subtitle</x:v>
      </x:c>
      <x:c r="Y19" s="68" t="str">
        <x:v>https://media.licdn.com/dms/image/v2/D560BAQHJWWQNCmnqKg/company-logo_100_100/company-logo_100_100/0/1719929153718/bain_and_company_logo?e=2147483647&amp;v=beta&amp;t=hOsU1bVj9dJZI9c0TujGpXV69c1dwdAsI9khve8rwOk</x:v>
      </x:c>
      <x:c r="Z19" s="68"/>
      <x:c r="AA19" s="68" t="str">
        <x:v>&lt;p&gt;&lt;span&gt;&lt;strong&gt;&lt;span&gt;WHAT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v>
      </x:c>
      <x:c r="AB19" s="68" t="str">
        <x:v>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v>
      </x:c>
      <x:c r="AC19" s="68" t="str">
        <x:v>Not Applicable</x:v>
      </x:c>
      <x:c r="AD19" s="68" t="str">
        <x:v>Full-time</x:v>
      </x:c>
      <x:c r="AE19" s="68" t="str">
        <x:v>Engineering</x:v>
      </x:c>
      <x:c r="AF19" s="68" t="str">
        <x:v>Business Consulting and Services</x:v>
      </x:c>
      <x:c r="AG19" s="68" t="str">
        <x:v>https://www.linkedin.com/jobs/search/?position=1&amp;pageNum=0&amp;keywords=AI+Engineer&amp;location=United+States&amp;distance=0&amp;f_TPR=r86400</x:v>
      </x:c>
      <x:c r="AH19" s="68" t="str">
        <x:v>{'type': 'PostalAddress', 'streetAddress': '350 Boylston St', 'addressLocality': 'Boston', 'addressRegion': 'Massachusetts', 'postalCode': '02116', 'addressCountry': 'US'}</x:v>
      </x:c>
      <x:c r="AI19" s="68" t="str">
        <x:v>http://www.bain.com</x:v>
      </x:c>
      <x:c r="AJ19" s="68"/>
      <x:c r="AK19" s="68" t="str">
        <x:v>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x:v>
      </x:c>
      <x:c r="AL19" s="68"/>
      <x:c r="AM19" s="68"/>
      <x:c r="AN19" s="68"/>
      <x:c r="AO19" s="68"/>
      <x:c r="AP19" s="68"/>
    </x:row>
    <x:row r="20" s="25" customFormat="1" ht="22" customHeight="1">
      <x:c r="A20" s="68" t="str">
        <x:v>4452104057</x:v>
      </x:c>
      <x:c r="B20" s="68" t="str">
        <x:v>Artificial Intelligence Engineer</x:v>
      </x:c>
      <x:c r="C20" s="68" t="str">
        <x:v>Yara AI</x:v>
      </x:c>
      <x:c r="D20" s="68" t="str">
        <x:v>San Francisco Bay Area</x:v>
      </x:c>
      <x:c r="E20" s="68" t="str">
        <x:v>Applied</x:v>
      </x:c>
      <x:c r="F20" s="68"/>
      <x:c r="G20" s="69"/>
      <x:c r="H20" s="85" t="str">
        <x:v>2026-08-10</x:v>
      </x:c>
      <x:c r="I20" s="85"/>
      <x:c r="J20" s="68" t="str">
        <x:v>109</x:v>
      </x:c>
      <x:c r="K20" s="70" t="str">
        <x:v>$200,000.00/yr - $500,000.00/yr</x:v>
      </x:c>
      <x:c r="L20" s="86"/>
      <x:c r="M20" s="87"/>
      <x:c r="N20" s="71"/>
      <x:c r="O20" s="88"/>
      <x:c r="P20" s="89"/>
      <x:c r="Q20" s="89"/>
      <x:c r="R20" s="89"/>
      <x:c r="S20" s="73"/>
      <x:c r="T20" s="68"/>
      <x:c r="U20" s="68" t="str">
        <x:v>https://www.linkedin.com/jobs/view/artificial-intelligence-engineer-at-yara-ai-4452104057?position=3&amp;pageNum=0&amp;refId=BWZMqS91XeFqN%2FI3y0U8Uw%3D%3D&amp;trackingId=hcZgoH4%2F4mRb3cYJ15MDGA%3D%3D</x:v>
      </x:c>
      <x:c r="V20" s="68" t="str">
        <x:v>hcZgoH4/4mRb3cYJ15MDGA==</x:v>
      </x:c>
      <x:c r="W20" s="68" t="str">
        <x:v>BWZMqS91XeFqN/I3y0U8Uw==</x:v>
      </x:c>
      <x:c r="X20" s="68" t="str">
        <x:v>https://www.linkedin.com/company/yara-jobs?trk=public_jobs_jserp-result_job-search-card-subtitle</x:v>
      </x:c>
      <x:c r="Y20" s="68" t="str">
        <x:v>https://media.licdn.com/dms/image/v2/D4E0BAQFTgTqK-HzZuA/company-logo_100_100/B4EZ5__10ZI8AM-/0/1780263904406?e=2147483647&amp;v=beta&amp;t=JSP0sS5tJ0mYJGRzekEnCaFeu0Xw51gsVy9isOC34FY</x:v>
      </x:c>
      <x:c r="Z20" s="68"/>
      <x:c r="AA20" s="68" t="str">
        <x:v>&lt;p&gt;&lt;strong&gt;About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fast.&lt;/p&gt;&lt;p&gt;&lt;br&gt;&lt;/p&gt;&lt;p&gt;&lt;em&gt;This is a Yara Network Application. Apply once and get matched across our partner companies.&lt;/em&gt;&lt;/p&gt;&lt;p&gt;&lt;br&gt;&lt;/p&gt;&lt;p&gt;&lt;strong&gt;Who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x:v>
      </x:c>
      <x:c r="AB20" s="68" t="str">
        <x:v>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This is a Yara Network Application. Apply once and get matched across our partner companies.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x:v>
      </x:c>
      <x:c r="AC20" s="68" t="str">
        <x:v>Mid-Senior level</x:v>
      </x:c>
      <x:c r="AD20" s="68" t="str">
        <x:v>Full-time</x:v>
      </x:c>
      <x:c r="AE20" s="68" t="str">
        <x:v>Engineering</x:v>
      </x:c>
      <x:c r="AF20" s="68" t="str">
        <x:v>Software Development</x:v>
      </x:c>
      <x:c r="AG20" s="68" t="str">
        <x:v>https://www.linkedin.com/jobs/search/?position=1&amp;pageNum=0&amp;keywords=AI+Engineer&amp;location=United+States&amp;distance=0&amp;f_TPR=r86400</x:v>
      </x:c>
      <x:c r="AH20" s="68" t="str">
        <x:v>{'type': 'PostalAddress', 'addressLocality': 'San Francisco', 'addressRegion': 'California', 'postalCode': '94102', 'addressCountry': 'US'}</x:v>
      </x:c>
      <x:c r="AI20" s="68" t="str">
        <x:v>https://www.yara.so/</x:v>
      </x:c>
      <x:c r="AJ20" s="68" t="str">
        <x:v>Your AI job search agent</x:v>
      </x:c>
      <x:c r="AK20" s="68" t="str">
        <x:v>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x:v>
      </x:c>
      <x:c r="AL20" s="68"/>
      <x:c r="AM20" s="68"/>
      <x:c r="AN20" s="68"/>
      <x:c r="AO20" s="68"/>
      <x:c r="AP20" s="68"/>
    </x:row>
    <x:row r="21" s="25" customFormat="1" ht="22" customHeight="1">
      <x:c r="A21" s="68" t="str">
        <x:v>4450304107</x:v>
      </x:c>
      <x:c r="B21" s="68" t="str">
        <x:v>Machine Learning Engineer</x:v>
      </x:c>
      <x:c r="C21" s="68" t="str">
        <x:v>Recruiting from Scratch</x:v>
      </x:c>
      <x:c r="D21" s="68" t="str">
        <x:v>New York, NY</x:v>
      </x:c>
      <x:c r="E21" s="68" t="str">
        <x:v>Applied</x:v>
      </x:c>
      <x:c r="F21" s="68"/>
      <x:c r="G21" s="69"/>
      <x:c r="H21" s="85" t="str">
        <x:v>2026-08-10</x:v>
      </x:c>
      <x:c r="I21" s="85"/>
      <x:c r="J21" s="68" t="str">
        <x:v>200</x:v>
      </x:c>
      <x:c r="K21" s="70" t="str">
        <x:v>$120,000.00/yr - $150,000.00/yr</x:v>
      </x:c>
      <x:c r="L21" s="86"/>
      <x:c r="M21" s="87"/>
      <x:c r="N21" s="71"/>
      <x:c r="O21" s="88"/>
      <x:c r="P21" s="89"/>
      <x:c r="Q21" s="89"/>
      <x:c r="R21" s="89"/>
      <x:c r="S21" s="73"/>
      <x:c r="T21" s="68"/>
      <x:c r="U21" s="68" t="str">
        <x:v>https://www.linkedin.com/jobs/view/machine-learning-engineer-at-recruiting-from-scratch-4450304107?position=1&amp;pageNum=0&amp;refId=BWZMqS91XeFqN%2FI3y0U8Uw%3D%3D&amp;trackingId=eWb4h4xfg7BjfGaXxgv%2BaA%3D%3D</x:v>
      </x:c>
      <x:c r="V21" s="68" t="str">
        <x:v>eWb4h4xfg7BjfGaXxgv+aA==</x:v>
      </x:c>
      <x:c r="W21" s="68" t="str">
        <x:v>BWZMqS91XeFqN/I3y0U8Uw==</x:v>
      </x:c>
      <x:c r="X21" s="68" t="str">
        <x:v>https://www.linkedin.com/company/recruiting-from-scratch?trk=public_jobs_jserp-result_job-search-card-subtitle</x:v>
      </x:c>
      <x:c r="Y21" s="68" t="str">
        <x:v>https://media.licdn.com/dms/image/v2/D4E0BAQExPmR_VOSIGg/company-logo_100_100/company-logo_100_100/0/1692290558535/recruiting_from_scratch_logo?e=2147483647&amp;v=beta&amp;t=fBJ47VIH8QzIQVOOhL2zRan_vQhUwfHstSEXXDMb8mg</x:v>
      </x:c>
      <x:c r="Z21" s="68"/>
      <x:c r="AA21" s="68" t="str">
        <x:v>&lt;p&gt;&lt;strong&gt;Who is Recruiting from Scratch:&lt;/strong&gt;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candidates.&lt;/p&gt;&lt;p&gt;https://www.recruitingfromscratch.com/&lt;/p&gt;&lt;p&gt;&lt;br&gt;&lt;/p&gt;&lt;p&gt;&lt;strong&gt;Title of the Role: &lt;/strong&gt;Machine Learning Engineer&lt;/p&gt;&lt;p&gt;&lt;strong&gt;Location&lt;/strong&gt;: New York, NY&lt;/p&gt;&lt;p&gt;&lt;strong&gt;Company Stage of Funding&lt;/strong&gt;: Early-Stage, Venture-Backed AI Healthcare Startup&lt;/p&gt;&lt;p&gt;&lt;strong&gt;Office Type:&lt;/strong&gt; Hybrid; some weeks may require up to 5 days/week in-office, other weeks only 1 days but we average 3 days a week&lt;/p&gt;&lt;p&gt;&lt;strong&gt;Salary&lt;/strong&gt;: $120,000–$150,000 + Equity&lt;/p&gt;&lt;p&gt;&lt;br&gt;&lt;/p&gt;&lt;p&gt;&lt;strong&gt;Role Overview&lt;/strong&gt;&lt;/p&gt;&lt;p&gt;We’re an early-stage, venture-backed startup building AI systems for medical coding and revenue cycle workflows. We’re looking for a &lt;strong&gt;Founding AI Engineer&lt;/strong&gt; to take end-to-end ownership of core AI systems—from data ingestion and retrieval to model adaptation and production deployment.&lt;/p&gt;&lt;p&gt;This is a hands-on role in a fast-paced environment with high responsibility and meaningful equity upside.&lt;/p&gt;&lt;p&gt;&lt;br&gt;&lt;/p&gt;&lt;p&gt;&lt;strong&gt;What You’ll Work On&lt;/strong&gt;&lt;/p&gt;&lt;ul&gt;&lt;li&gt;Design and build &lt;strong&gt;RAG systems&lt;/strong&gt; over clinical notes, billing data, and coding guidelines&lt;/li&gt;&lt;li&gt;Adapt and fine-tune LLMs (LoRA/QLoRA, instruction tuning) for medical coding and explanations&lt;/li&gt;&lt;li&gt;Help architect and operate &lt;strong&gt;GCP-based infrastructure&lt;/strong&gt; (Cloud Run/GKE, Vertex AI, BigQuery, Pub/Sub)&lt;/li&gt;&lt;li&gt;Build evaluation and feedback loops to measure accuracy and quality&lt;/li&gt;&lt;li&gt;Own integrations with EHRs, RCM systems, and other healthcare data sources&lt;/li&gt;&lt;/ul&gt;&lt;p&gt;&lt;br&gt;&lt;/p&gt;&lt;p&gt;&lt;strong&gt;What We’re Looking For&lt;/strong&gt;&lt;/p&gt;&lt;ul&gt;&lt;li&gt;Experience building and shipping &lt;strong&gt;LLM + RAG systems in production&lt;/strong&gt;&lt;/li&gt;&lt;li&gt;Hands-on experience with model adaptation or fine-tuning techniques&lt;/li&gt;&lt;li&gt;Strong backend engineering skills (Python, TypeScript, or similar)&lt;/li&gt;&lt;li&gt;Comfortable working with messy, real-world data and production systems&lt;/li&gt;&lt;li&gt;Ownership mindset and ability to move quickly in an early-stage startup&lt;/li&gt;&lt;/ul&gt;&lt;p&gt;&lt;br&gt;&lt;/p&gt;&lt;p&gt;&lt;strong&gt;Nice to Have&lt;/strong&gt;&lt;/p&gt;&lt;ul&gt;&lt;li&gt;Healthcare, EHR, or medical coding experience (ICD-10, CPT, HCPCS)&lt;/li&gt;&lt;li&gt;Experience handling PHI and working in HIPAA-regulated environments&lt;/li&gt;&lt;li&gt;Familiarity with Vertex AI or high-performance inference&lt;/li&gt;&lt;li&gt;NYC-based or able to be in-office periodically&lt;/li&gt;&lt;/ul&gt;&lt;p&gt;&lt;br&gt;&lt;/p&gt;&lt;p&gt;&lt;strong&gt;Compensation&lt;/strong&gt;&lt;/p&gt;&lt;ul&gt;&lt;li&gt;&lt;strong&gt;Base Salary:&lt;/strong&gt; $120,000 – $150,000&lt;/li&gt;&lt;li&gt;&lt;strong&gt;Equity:&lt;/strong&gt; Meaningful early-stage equity&lt;/li&gt;&lt;/ul&gt;&lt;p&gt;&lt;/p&gt;</x:v>
      </x:c>
      <x:c r="AB21" s="68" t="str">
        <x:v>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the Role: Machine Learning Engineer
Location: New York, NY
Company Stage of Funding: Early-Stage, Venture-Backed AI Healthcare Startup
Office Type: Hybrid; some weeks may require up to 5 days/week in-office, other weeks only 1 days but we average 3 days a week
Salary: $120,000–$150,000 + Equity
Role Overview
We’re an early-stage, venture-backed startup building AI systems for medical coding and revenue cycle workflows. We’re looking for a Founding AI Engineer to take end-to-end ownership of core AI systems—from data ingestion and retrieval to model adaptation and production deployment.
This is a hands-on role in a fast-paced environment with high responsibility and meaningful equity upside.
What You’ll Work On
- Design and build RAG systems over clinical notes, billing data, and coding guidelines
- Adapt and fine-tune LLMs (LoRA/QLoRA, instruction tuning) for medical coding and explanations
- Help architect and operate GCP-based infrastructure (Cloud Run/GKE, Vertex AI, BigQuery, Pub/Sub)
- Build evaluation and feedback loops to measure accuracy and quality
- Own integrations with EHRs, RCM systems, and other healthcare data sources
What We’re Looking For
- Experience building and shipping LLM + RAG systems in production
- Hands-on experience with model adaptation or fine-tuning techniques
- Strong backend engineering skills (Python, TypeScript, or similar)
- Comfortable working with messy, real-world data and production systems
- Ownership mindset and ability to move quickly in an early-stage startup
Nice to Have
- Healthcare, EHR, or medical coding experience (ICD-10, CPT, HCPCS)
- Experience handling PHI and working in HIPAA-regulated environments
- Familiarity with Vertex AI or high-performance inference
- NYC-based or able to be in-office periodically
Compensation
- Base Salary: $120,000 – $150,000
- Equity: Meaningful early-stage equity
</x:v>
      </x:c>
      <x:c r="AC21" s="68" t="str">
        <x:v>Associate</x:v>
      </x:c>
      <x:c r="AD21" s="68" t="str">
        <x:v>Full-time</x:v>
      </x:c>
      <x:c r="AE21" s="68" t="str">
        <x:v>Engineering, Research, and Product Management</x:v>
      </x:c>
      <x:c r="AF21" s="68" t="str">
        <x:v>Financial Services, Software Development, and Hospitals and Health Care</x:v>
      </x:c>
      <x:c r="AG21" s="68" t="str">
        <x:v>https://www.linkedin.com/jobs/search/?position=1&amp;pageNum=0&amp;keywords=AI+Engineer&amp;location=United+States&amp;distance=0&amp;f_TPR=r86400</x:v>
      </x:c>
      <x:c r="AH21" s="68" t="str">
        <x:v>{'type': 'PostalAddress', 'addressLocality': 'New York', 'addressRegion': 'NY', 'addressCountry': 'US'}</x:v>
      </x:c>
      <x:c r="AI21" s="68" t="str">
        <x:v>http://recruitingfromscratch.com</x:v>
      </x:c>
      <x:c r="AJ21" s="68" t="str">
        <x:v>We help hire across the best roles in engineering, product, marketing, design, accounting &amp; finance.</x:v>
      </x:c>
      <x:c r="AK21" s="68" t="str">
        <x:v>Recruiting from Scratch provides recruiting services for companies that need to hire the best talent in software engineering, hardware engineering, product design, product management, marketing, GTM, and accounting &amp; finance.</x:v>
      </x:c>
      <x:c r="AL21" s="68"/>
      <x:c r="AM21" s="68"/>
      <x:c r="AN21" s="68"/>
      <x:c r="AO21" s="68"/>
      <x:c r="AP21" s="68"/>
    </x:row>
    <x:row r="22" s="25" customFormat="1" ht="22" customHeight="1">
      <x:c r="A22" s="68" t="str">
        <x:v>4442074865</x:v>
      </x:c>
      <x:c r="B22" s="68" t="str">
        <x:v>Artificial Intelligence (AI) Engineer</x:v>
      </x:c>
      <x:c r="C22" s="68" t="str">
        <x:v>GSI Environmental Inc.</x:v>
      </x:c>
      <x:c r="D22" s="68" t="str">
        <x:v>Houston, TX</x:v>
      </x:c>
      <x:c r="E22" s="68" t="str">
        <x:v>Applied</x:v>
      </x:c>
      <x:c r="F22" s="68"/>
      <x:c r="G22" s="69"/>
      <x:c r="H22" s="85" t="str">
        <x:v>2026-08-11</x:v>
      </x:c>
      <x:c r="I22" s="85"/>
      <x:c r="J22" s="68" t="str">
        <x:v>200</x:v>
      </x:c>
      <x:c r="K22" s="70"/>
      <x:c r="L22" s="86"/>
      <x:c r="M22" s="87"/>
      <x:c r="N22" s="71"/>
      <x:c r="O22" s="88"/>
      <x:c r="P22" s="89"/>
      <x:c r="Q22" s="89"/>
      <x:c r="R22" s="89"/>
      <x:c r="S22" s="73"/>
      <x:c r="T22" s="68"/>
      <x:c r="U22" s="68" t="str">
        <x:v>https://www.linkedin.com/jobs/view/artificial-intelligence-ai-engineer-at-gsi-environmental-inc-4442074865?position=8&amp;pageNum=0&amp;refId=XkauYjvUpjjZVSMmrtVgdw%3D%3D&amp;trackingId=tCY9MIXzL6aM6yFuHDvsWA%3D%3D</x:v>
      </x:c>
      <x:c r="V22" s="68" t="str">
        <x:v>tCY9MIXzL6aM6yFuHDvsWA==</x:v>
      </x:c>
      <x:c r="W22" s="68" t="str">
        <x:v>XkauYjvUpjjZVSMmrtVgdw==</x:v>
      </x:c>
      <x:c r="X22" s="68" t="str">
        <x:v>https://www.linkedin.com/company/gsienvironmental?trk=public_jobs_jserp-result_job-search-card-subtitle</x:v>
      </x:c>
      <x:c r="Y22" s="68" t="str">
        <x:v>https://media.licdn.com/dms/image/v2/D560BAQHvFCPnwkDbEQ/company-logo_100_100/B56ZueJEnVLMAQ-/0/1767884738717/gsienvironmental_logo?e=2147483647&amp;v=beta&amp;t=LbJjNkjEsLl_z6eLLkWmuaD_DywOWRpHM2_fUN1airg</x:v>
      </x:c>
      <x:c r="Z22" s="68"/>
      <x:c r="AA22" s="68" t="str">
        <x:v>&lt;strong&gt;Position Overview&lt;br&gt;&lt;br&gt;&lt;/strong&gt;GSI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organization.&lt;br&gt;&lt;br&gt;You'll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problems.&lt;br&gt;&lt;br&gt;&lt;strong&gt;About Us&lt;br&gt;&lt;br&gt;&lt;/strong&gt;We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satisfaction.&lt;br&gt;&lt;br&gt;GSI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internationally.&lt;br&gt;&lt;br&gt;&lt;strong&gt;Key Responsibilities&lt;br&gt;&lt;br&gt;&lt;/strong&gt;&lt;strong&gt;AI &amp;amp; Application Development&lt;br&gt;&lt;br&gt;&lt;/strong&gt;&lt;ul&gt;&lt;li&gt;Design, develop, and deploy AI-powered applications, assistants, and workflows that solve real business and environmental problems.&lt;/li&gt;&lt;li&gt;Develop custom internal software, portals, and applications that improve operational efficiency.&lt;/li&gt;&lt;li&gt;Evaluate new AI platforms, large language models (LLMs), and automation technologies, and rapidly prototype high-value use cases.&lt;br&gt;&lt;br&gt;&lt;/li&gt;&lt;/ul&gt;&lt;strong&gt;Data, Analytics &amp;amp; Integration&lt;br&gt;&lt;br&gt;&lt;/strong&gt;&lt;ul&gt;&lt;li&gt;Build dashboards and business intelligence tools that deliver actionable insight to leadership and project teams.&lt;/li&gt;&lt;li&gt;Integrate business and technical systems through APIs, databases, and cloud services.&lt;/li&gt;&lt;li&gt;Support data management, reporting, and analytics initiatives—including work with scientific, financial, and regulatory data.&lt;br&gt;&lt;br&gt;&lt;/li&gt;&lt;/ul&gt;&lt;strong&gt;Automation &amp;amp; Enablement&lt;br&gt;&lt;br&gt;&lt;/strong&gt;&lt;ul&gt;&lt;li&gt;Create automated workflows that reduce manual effort and streamline business processes.&lt;/li&gt;&lt;li&gt;Train and support employees in adopting new AI tools, and champion a culture of practical, responsible AI use.&lt;br&gt;&lt;br&gt;&lt;/li&gt;&lt;/ul&gt;&lt;strong&gt;Governance &amp;amp; Strategy&lt;br&gt;&lt;br&gt;&lt;/strong&gt;&lt;ul&gt;&lt;li&gt;Develop AI governance standards and best practices that ensure secure, ethical, and responsible use of emerging technologies—particularly important given GSI's confidential client, litigation, and government project data.&lt;/li&gt;&lt;li&gt;Partner with IT and leadership to establish a long-term technology and innovation roadmap.&lt;br&gt;&lt;br&gt;&lt;/li&gt;&lt;/ul&gt;&lt;strong&gt;Location&lt;br&gt;&lt;br&gt;&lt;/strong&gt;This position is preferably based at or near one of GSI's offices, with our Houston headquarters as the ideal location. Hybrid or remote arrangements will be considered for exceptionally qualified candidates.&lt;br&gt;&lt;br&gt;&lt;strong&gt;Qualifications&lt;br&gt;&lt;br&gt;&lt;/strong&gt;&lt;strong&gt;Qualifications/Experience&lt;br&gt;&lt;br&gt;&lt;/strong&gt;&lt;ul&gt;&lt;li&gt;Bachelor's degree in Computer Science, Software Engineering, Data Science, Information Systems, or a related field.&lt;/li&gt;&lt;li&gt;Ability to develop software applications, automation tools, business intelligence solutions, or AI-enabled technologies.&lt;/li&gt;&lt;li&gt;Hands-on experience with Generative AI, LLMs, AI agents, or machine learning technologies.&lt;/li&gt;&lt;li&gt;Strong programming skills in Python, SQL, JavaScript, C#, or similar languages.&lt;/li&gt;&lt;li&gt;Experience building dashboards and analytics with Power BI, Tableau, or comparable platforms.&lt;/li&gt;&lt;li&gt;Experience integrating systems via APIs, databases, and cloud technologies.&lt;/li&gt;&lt;li&gt;Strong grasp of data architecture, security, governance, and software development best practices.&lt;/li&gt;&lt;li&gt;Proven ability to translate complex business problems into practical technology solutions.&lt;/li&gt;&lt;li&gt;Excellent communication skills, with the ability to explain technical concepts to non-technical audiences.&lt;/li&gt;&lt;li&gt;Experience with Microsoft Power Platform (Power Apps, Power Automate, Power BI) or similar low-code tools—GSI is a Microsoft 365 environment.&lt;/li&gt;&lt;li&gt;Experience building LLM/RAG applications, document automation, or AI assistants for knowledge work.&lt;/li&gt;&lt;li&gt;A passion for continuous learning and staying current with rapidly evolving AI technologies.&lt;/li&gt;&lt;li&gt;A passion for the environment is a strong plus!&lt;/li&gt;&lt;/ul&gt;</x:v>
      </x:c>
      <x:c r="AB22" s="68" t="str">
        <x:v>Position Overview
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
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
About Us
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
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
Key Responsibilities
AI &amp;amp; Application Development
- Design, develop, and deploy AI-powered applications, assistants, and workflows that solve real business and environmental problems.
- Develop custom internal software, portals, and applications that improve operational efficiency.
- Evaluate new AI platforms, large language models (LLMs), and automation technologies, and rapidly prototype high-value use cases.
Data, Analytics &amp;amp; Integration
- Build dashboards and business intelligence tools that deliver actionable insight to leadership and project teams.
- Integrate business and technical systems through APIs, databases, and cloud services.
- Support data management, reporting, and analytics initiatives—including work with scientific, financial, and regulatory data.
Automation &amp;amp; Enablement
- Create automated workflows that reduce manual effort and streamline business processes.
- Train and support employees in adopting new AI tools, and champion a culture of practical, responsible AI use.
Governance &amp;amp; Strategy
- Develop AI governance standards and best practices that ensure secure, ethical, and responsible use of emerging technologies—particularly important given GSI's confidential client, litigation, and government project data.
- Partner with IT and leadership to establish a long-term technology and innovation roadmap.
Location
This position is preferably based at or near one of GSI's offices, with our Houston headquarters as the ideal location. Hybrid or remote arrangements will be considered for exceptionally qualified candidates.
Qualifications
Qualifications/Experience
- Bachelor's degree in Computer Science, Software Engineering, Data Science, Information Systems, or a related field.
- Ability to develop software applications, automation tools, business intelligence solutions, or AI-enabled technologies.
- Hands-on experience with Generative AI, LLMs, AI agents, or machine learning technologies.
- Strong programming skills in Python, SQL, JavaScript, C#, or similar languages.
- Experience building dashboards and analytics with Power BI, Tableau, or comparable platforms.
- Experience integrating systems via APIs, databases, and cloud technologies.
- Strong grasp of data architecture, security, governance, and software development best practices.
- Proven ability to translate complex business problems into practical technology solutions.
- Excellent communication skills, with the ability to explain technical concepts to non-technical audiences.
- Experience with Microsoft Power Platform (Power Apps, Power Automate, Power BI) or similar low-code tools—GSI is a Microsoft 365 environment.
- Experience building LLM/RAG applications, document automation, or AI assistants for knowledge work.
- A passion for continuous learning and staying current with rapidly evolving AI technologies.
- A passion for the environment is a strong plus!</x:v>
      </x:c>
      <x:c r="AC22" s="68" t="str">
        <x:v>Not Applicable</x:v>
      </x:c>
      <x:c r="AD22" s="68" t="str">
        <x:v>Full-time</x:v>
      </x:c>
      <x:c r="AE22" s="68" t="str">
        <x:v>Engineering and Information Technology</x:v>
      </x:c>
      <x:c r="AF22" s="68" t="str">
        <x:v>Environmental Services</x:v>
      </x:c>
      <x:c r="AG22" s="68" t="str">
        <x:v>https://www.linkedin.com/jobs/search/?position=1&amp;pageNum=0&amp;keywords=AI+Engineer&amp;location=United+States&amp;distance=0&amp;f_TPR=r86400</x:v>
      </x:c>
      <x:c r="AH22" s="68" t="str">
        <x:v>{'type': 'PostalAddress', 'streetAddress': '2211 Norfolk Street', 'addressLocality': 'Houston', 'addressRegion': 'Texas', 'postalCode': '77098', 'addressCountry': 'US'}</x:v>
      </x:c>
      <x:c r="AI22" s="68" t="str">
        <x:v>https://www.gsienv.com/</x:v>
      </x:c>
      <x:c r="AJ22" s="68" t="str">
        <x:v>Committed to measuring, analyzing, and solving complex environmental problems.</x:v>
      </x:c>
      <x:c r="AK22" s="68" t="str">
        <x:v>GSI Environmental, Inc. (GSI), is an environmental engineering and science consulting firm committed to measuring, analyzing, and solving complex environmental problems around the globe.  Our work ranges from practical solutions for environmentally sound industrial operations and property development to toxicological analysis and management of chemical hazards, sustainable development of water and other natural resources, and protection of our rivers and estuaries. Our staff combines practical know-how with leading-edge research to deliver timely, innovative, and focused answers to your environmental challenges.</x:v>
      </x:c>
      <x:c r="AL22" s="68"/>
      <x:c r="AM22" s="68"/>
      <x:c r="AN22" s="68"/>
      <x:c r="AO22" s="68"/>
      <x:c r="AP22" s="68"/>
    </x:row>
    <x:row r="23" s="25" customFormat="1" ht="22" customHeight="1">
      <x:c r="A23" s="68" t="str">
        <x:v>4442751225</x:v>
      </x:c>
      <x:c r="B23" s="68" t="str">
        <x:v>Applied AI Engineer</x:v>
      </x:c>
      <x:c r="C23" s="68" t="str">
        <x:v>Little Caesars Pizza</x:v>
      </x:c>
      <x:c r="D23" s="68" t="str">
        <x:v>Detroit, MI</x:v>
      </x:c>
      <x:c r="E23" s="68" t="str">
        <x:v>Applied</x:v>
      </x:c>
      <x:c r="F23" s="68"/>
      <x:c r="G23" s="69"/>
      <x:c r="H23" s="85" t="str">
        <x:v>2026-08-11</x:v>
      </x:c>
      <x:c r="I23" s="85"/>
      <x:c r="J23" s="68" t="str">
        <x:v>200</x:v>
      </x:c>
      <x:c r="K23" s="70"/>
      <x:c r="L23" s="86"/>
      <x:c r="M23" s="87"/>
      <x:c r="N23" s="71"/>
      <x:c r="O23" s="88"/>
      <x:c r="P23" s="89"/>
      <x:c r="Q23" s="89"/>
      <x:c r="R23" s="89"/>
      <x:c r="S23" s="73"/>
      <x:c r="T23" s="68"/>
      <x:c r="U23" s="68" t="str">
        <x:v>https://www.linkedin.com/jobs/view/applied-ai-engineer-at-little-caesars-pizza-4442751225?position=7&amp;pageNum=0&amp;refId=XkauYjvUpjjZVSMmrtVgdw%3D%3D&amp;trackingId=yFBceHakkXguL88JVN6IKg%3D%3D</x:v>
      </x:c>
      <x:c r="V23" s="68" t="str">
        <x:v>yFBceHakkXguL88JVN6IKg==</x:v>
      </x:c>
      <x:c r="W23" s="68" t="str">
        <x:v>XkauYjvUpjjZVSMmrtVgdw==</x:v>
      </x:c>
      <x:c r="X23" s="68" t="str">
        <x:v>https://www.linkedin.com/company/little-caesars?trk=public_jobs_jserp-result_job-search-card-subtitle</x:v>
      </x:c>
      <x:c r="Y23" s="68" t="str">
        <x:v>https://media.licdn.com/dms/image/v2/C510BAQHfBoq3qYmlwg/company-logo_100_100/company-logo_100_100/0/1631309463465?e=2147483647&amp;v=beta&amp;t=jZ7uXa43fqVAVzzwQAVF2596U0tfNmvjlsBeEAvoY6Q</x:v>
      </x:c>
      <x:c r="Z23" s="68"/>
      <x:c r="AA23" s="68" t="str">
        <x:v>&lt;strong&gt;Job Summary&lt;br&gt;&lt;br&gt;&lt;/strong&gt;The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cases.&lt;br&gt;&lt;br&gt;This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support.&lt;br&gt;&lt;br&gt;&lt;strong&gt;Key Responsibilities&lt;br&gt;&lt;br&gt;&lt;/strong&gt;&lt;ul&gt;&lt;li&gt;Design, build, and deploy end-to-end AI solutions that span data ingestion, transformation, model development, evaluation, deployment, and application integration &lt;/li&gt;&lt;li&gt;Develop scalable data pipelines and feature engineering workflows using modern data platforms, including Databricks &lt;/li&gt;&lt;li&gt;Build and productionize machine learning and generative AI solutions that address prioritized business use cases &lt;/li&gt;&lt;li&gt;Create APIs, services, and application components that embed AI capabilities into internal tools, workflows, and user-facing experiences &lt;/li&gt;&lt;li&gt;Work with architecture and platform teams to establish reusable patterns for model serving, orchestration, monitoring, and secure deployment &lt;/li&gt;&lt;li&gt;Collaborate with product, business, and technical stakeholders to translate requirements into practical AI-enabled solutions with measurable impact &lt;/li&gt;&lt;li&gt;Support proof-of-concepts, pilots, and production implementations while balancing speed, scalability, maintainability, and responsible AI practices &lt;/li&gt;&lt;li&gt;Partner with data governance, security, and infrastructure teams to ensure AI solutions meet enterprise standards for privacy, reliability, and compliance &lt;/li&gt;&lt;li&gt;Stay current on emerging AI engineering practices, frameworks, and tools, and recommend technologies that improve delivery speed and solution quality &lt;/li&gt;&lt;li&gt;Mentor teammates and contribute to the evolution of engineering standards, reusable components, and AI platform capabilities &lt;br&gt;&lt;br&gt;&lt;/li&gt;&lt;/ul&gt;&lt;strong&gt;Required Knowledge, Skills And Abilities&lt;br&gt;&lt;br&gt;&lt;/strong&gt;&lt;ul&gt;&lt;li&gt;Bachelor’s or Master’s degree in Computer Science, Data Science, Engineering, Mathematics, or a related technical field, with experience building and deploying AI or machine learning solutions in production environments. Equivalent experience may be considered in lieu of formal degree. &lt;/li&gt;&lt;li&gt;2+ years of experience developing end-to-end AI solutions, including data pipelines, model training, evaluation, deployment, and application or API integration &lt;/li&gt;&lt;li&gt;Strong programming skills in Python and SQL, with the ability to build maintainable, production-quality code and integrate open-source AI frameworks &lt;/li&gt;&lt;li&gt;Hands-on experience with data engineering concepts such as data modeling, transformation, orchestration, and feature preparation for AI workloads &lt;/li&gt;&lt;li&gt;Experience building services, APIs, or lightweight applications that operationalize AI capabilities for end users or internal teams &lt;/li&gt;&lt;li&gt;Experience with machine learning, generative AI, and applied AI patterns such as retrieval, recommendation, forecasting, optimization, or intelligent assistants &lt;/li&gt;&lt;li&gt;Experience with secure development practices, data privacy controls, and operational monitoring for AI and data solutions &lt;br&gt;&lt;br&gt;&lt;/li&gt;&lt;/ul&gt;&lt;strong&gt;Preferred Knowledge, Skills And Abilities&lt;br&gt;&lt;br&gt;&lt;/strong&gt;&lt;ul&gt;&lt;li&gt;Knowledge of cloud and hybrid data architectures and how storage, compute, and governance choices influence AI solution design &lt;/li&gt;&lt;li&gt;Understanding of modern product and engineering practices such as Agile, DevOps, CI/CD, MLOps, and responsible AI delivery &lt;/li&gt;&lt;li&gt;Experience with Databricks, notebooks, model serving, MLflow, and related cloud services such as Azure AI Foundry, Microsoft Fabric, or Azure Data Factory &lt;br&gt;&lt;br&gt;&lt;/li&gt;&lt;/ul&gt;&lt;strong&gt;Working Conditions&lt;br&gt;&lt;br&gt;&lt;/strong&gt;&lt;ul&gt;&lt;li&gt;This position may require minimal travel to vendor locations, assessment at restaurants and Ilitch Companies facilities, data centers or seminars/networking. &lt;br&gt;&lt;br&gt;&lt;/li&gt;&lt;/ul&gt;&lt;strong&gt;Competencies&lt;br&gt;&lt;br&gt;&lt;/strong&gt;&lt;ul&gt;&lt;li&gt;Demonstrated comfort in ambiguity and ability to work in a fast-paced continuous delivery environment &lt;/li&gt;&lt;li&gt;Ability to communicate technical concepts, architecture decisions, and solution tradeoffs clearly to both technical and non-technical stakeholders &lt;/li&gt;&lt;li&gt;Practiced at solving ambiguous business problems through structured thinking, iterative delivery, and cross-functional collaboration &lt;/li&gt;&lt;li&gt;Excellent written and verbal communication skills with the ability to document technical solutions and support collaborative delivery &lt;br&gt;&lt;br&gt;&lt;/li&gt;&lt;/ul&gt;&lt;strong&gt;Disclaimer&lt;br&gt;&lt;br&gt;&lt;/strong&gt;The above is intended to describe the general content of and requirements for the performance of this job. It is not to be construed as an exhaustive statement of duties, responsibilities, or requirements.&lt;br&gt;&lt;br&gt;&lt;em&gt;&lt;strong&gt;All items listed above are illustrative and not comprehensive. They are not contractual in nature and are subject to change at the discretion of Little Caesars Enterprises Inc. &lt;br&gt;&lt;br&gt;&lt;/strong&gt;&lt;/em&gt;&lt;em&gt;Little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law.&lt;br&gt;&lt;br&gt;The Company will strive to provide reasonable accommodations to permit qualified applicants who have a need for an accommodation to participate in the hiring process (e.g., accommodations for a job interview) if so requested.&lt;br&gt;&lt;br&gt;This company participates in E-Verify. Click on any of the links below to view or print the full poster. &lt;/em&gt; &lt;em&gt;E-Verify and Right to Work.&lt;br&gt;&lt;br&gt;&lt;/em&gt;&lt;em&gt;PRIVACY POLICY&lt;/em&gt;</x:v>
      </x:c>
      <x:c r="AB23" s="68" t="str">
        <x:v>Job Summary
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
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
Key Responsibilities
- Design, build, and deploy end-to-end AI solutions that span data ingestion, transformation, model development, evaluation, deployment, and application integration 
- Develop scalable data pipelines and feature engineering workflows using modern data platforms, including Databricks 
- Build and productionize machine learning and generative AI solutions that address prioritized business use cases 
- Create APIs, services, and application components that embed AI capabilities into internal tools, workflows, and user-facing experiences 
- Work with architecture and platform teams to establish reusable patterns for model serving, orchestration, monitoring, and secure deployment 
- Collaborate with product, business, and technical stakeholders to translate requirements into practical AI-enabled solutions with measurable impact 
- Support proof-of-concepts, pilots, and production implementations while balancing speed, scalability, maintainability, and responsible AI practices 
- Partner with data governance, security, and infrastructure teams to ensure AI solutions meet enterprise standards for privacy, reliability, and compliance 
- Stay current on emerging AI engineering practices, frameworks, and tools, and recommend technologies that improve delivery speed and solution quality 
- Mentor teammates and contribute to the evolution of engineering standards, reusable components, and AI platform capabilities 
Required Knowledge, Skills And Abilities
- Bachelor’s or Master’s degree in Computer Science, Data Science, Engineering, Mathematics, or a related technical field, with experience building and deploying AI or machine learning solutions in production environments. Equivalent experience may be considered in lieu of formal degree. 
- 2+ years of experience developing end-to-end AI solutions, including data pipelines, model training, evaluation, deployment, and application or API integration 
- Strong programming skills in Python and SQL, with the ability to build maintainable, production-quality code and integrate open-source AI frameworks 
- Hands-on experience with data engineering concepts such as data modeling, transformation, orchestration, and feature preparation for AI workloads 
- Experience building services, APIs, or lightweight applications that operationalize AI capabilities for end users or internal teams 
- Experience with machine learning, generative AI, and applied AI patterns such as retrieval, recommendation, forecasting, optimization, or intelligent assistants 
- Experience with secure development practices, data privacy controls, and operational monitoring for AI and data solutions 
Preferred Knowledge, Skills And Abilities
- Knowledge of cloud and hybrid data architectures and how storage, compute, and governance choices influence AI solution design 
- Understanding of modern product and engineering practices such as Agile, DevOps, CI/CD, MLOps, and responsible AI delivery 
- Experience with Databricks, notebooks, model serving, MLflow, and related cloud services such as Azure AI Foundry, Microsoft Fabric, or Azure Data Factory 
Working Conditions
- This position may require minimal travel to vendor locations, assessment at restaurants and Ilitch Companies facilities, data centers or seminars/networking. 
Competencies
- Demonstrated comfort in ambiguity and ability to work in a fast-paced continuous delivery environment 
- Ability to communicate technical concepts, architecture decisions, and solution tradeoffs clearly to both technical and non-technical stakeholders 
- Practiced at solving ambiguous business problems through structured thinking, iterative delivery, and cross-functional collaboration 
- Excellent written and verbal communication skills with the ability to document technical solutions and support collaborative delivery 
Disclaimer
The above is intended to describe the general content of and requirements for the performance of this job. It is not to be construed as an exhaustive statement of duties, responsibilities, or requirements.
All items listed above are illustrative and not comprehensive. They are not contractual in nature and are subject to change at the discretion of Little Caesars Enterprises Inc. 
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
PRIVACY POLICY</x:v>
      </x:c>
      <x:c r="AC23" s="68" t="str">
        <x:v>Not Applicable</x:v>
      </x:c>
      <x:c r="AD23" s="68" t="str">
        <x:v>Full-time</x:v>
      </x:c>
      <x:c r="AE23" s="68" t="str">
        <x:v>Engineering and Information Technology</x:v>
      </x:c>
      <x:c r="AF23" s="68" t="str">
        <x:v>Food and Beverage Services</x:v>
      </x:c>
      <x:c r="AG23" s="68" t="str">
        <x:v>https://www.linkedin.com/jobs/search/?position=1&amp;pageNum=0&amp;keywords=AI+Engineer&amp;location=United+States&amp;distance=0&amp;f_TPR=r86400</x:v>
      </x:c>
      <x:c r="AH23" s="68" t="str">
        <x:v>{'type': 'PostalAddress', 'streetAddress': '2211 Woodward Avenue', 'addressLocality': 'Detroit', 'addressRegion': 'MI', 'postalCode': '48201', 'addressCountry': 'US'}</x:v>
      </x:c>
      <x:c r="AI23" s="68" t="str">
        <x:v>http://www.littlecaesars.com</x:v>
      </x:c>
      <x:c r="AJ23" s="68" t="str">
        <x:v>Family. Fun. Pizza.</x:v>
      </x:c>
      <x:c r="AK23" s="68" t="str">
        <x:v>ABOUT LITTLE CAESARS®  
Little Caesars, the Best Value in Pizza*, was founded by Mike and Marian Ilitch as a single, family-owned restaurant in 1959 and is headquartered in downtown Detroit, Michigan. It is the third-largest pizza chain in the world, with restaurants in each of the 50 U.S. states and 31 countries and territories. 
Known for its HOT-N-READY® pizza, Crazy Puffs®, and famed Crazy Bread®, Little Caesars uses quality ingredients, like fresh, never-frozen mozzarella and Muenster cheese and sauce made from fresh-packed, vine-ripened California crushed tomatoes. The brand is known for innovation and is home to the exclusive Pizza Portal® pickup, a heated, self-service mobile order pickup station. Little Caesars is also the Official Pizza Sponsor of the NFL. 
A high-growth company with over 65 years in the $150 billion worldwide pizza industry, Little Caesars continually looks for franchisee candidates to join the team in markets worldwide. In addition to providing the opportunity for entrepreneurial independence in a franchise system, Little Caesars offers a simple operating system, a reputation for taste and value, and strong brand awareness with one of the most recognized characters in the country, Little Caesar. Little Caesars is proud to be part of the Ilitch Companies family of businesses.
For more, visit LittleCaesars.com and follow Little Caesars on TikTok, Instagram, and X.
*Limited to top 4 national pizza chains
</x:v>
      </x:c>
      <x:c r="AL23" s="68"/>
      <x:c r="AM23" s="68"/>
      <x:c r="AN23" s="68"/>
      <x:c r="AO23" s="68"/>
      <x:c r="AP23" s="68"/>
    </x:row>
    <x:row r="24" s="25" customFormat="1" ht="22" customHeight="1">
      <x:c r="A24" s="68" t="str">
        <x:v>4431872420</x:v>
      </x:c>
      <x:c r="B24" s="68" t="str">
        <x:v>AI Engineer</x:v>
      </x:c>
      <x:c r="C24" s="68" t="str">
        <x:v>Morgan Stanley</x:v>
      </x:c>
      <x:c r="D24" s="68" t="str">
        <x:v>New York, NY</x:v>
      </x:c>
      <x:c r="E24" s="68" t="str">
        <x:v>Applied</x:v>
      </x:c>
      <x:c r="F24" s="68"/>
      <x:c r="G24" s="69"/>
      <x:c r="H24" s="85" t="str">
        <x:v>2026-08-11</x:v>
      </x:c>
      <x:c r="I24" s="85"/>
      <x:c r="J24" s="68" t="str">
        <x:v>200</x:v>
      </x:c>
      <x:c r="K24" s="70"/>
      <x:c r="L24" s="86"/>
      <x:c r="M24" s="87"/>
      <x:c r="N24" s="71"/>
      <x:c r="O24" s="88"/>
      <x:c r="P24" s="89"/>
      <x:c r="Q24" s="89"/>
      <x:c r="R24" s="89"/>
      <x:c r="S24" s="73"/>
      <x:c r="T24" s="68"/>
      <x:c r="U24" s="68" t="str">
        <x:v>https://www.linkedin.com/jobs/view/ai-engineer-at-morgan-stanley-4431872420?position=6&amp;pageNum=0&amp;refId=XkauYjvUpjjZVSMmrtVgdw%3D%3D&amp;trackingId=xTTraaMwUy7DSSw8FPbR6Q%3D%3D</x:v>
      </x:c>
      <x:c r="V24" s="68" t="str">
        <x:v>xTTraaMwUy7DSSw8FPbR6Q==</x:v>
      </x:c>
      <x:c r="W24" s="68" t="str">
        <x:v>XkauYjvUpjjZVSMmrtVgdw==</x:v>
      </x:c>
      <x:c r="X24" s="68" t="str">
        <x:v>https://www.linkedin.com/company/morgan-stanley?trk=public_jobs_jserp-result_job-search-card-subtitle</x:v>
      </x:c>
      <x:c r="Y24" s="68" t="str">
        <x:v>https://media.licdn.com/dms/image/v2/C560BAQFtDpMvYgbIwA/company-logo_100_100/company-logo_100_100/0/1677778128461/morgan_stanley_logo?e=2147483647&amp;v=beta&amp;t=f7aAdfTeMpLPSwCGS8zQ4DtuVYuEuN3OSYQ8ksHvOsI</x:v>
      </x:c>
      <x:c r="Z24" s="68"/>
      <x:c r="AA24" s="68" t="str">
        <x:v>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needs.&lt;br&gt;&lt;br&gt;Morgan Stanley is an industry leader in financial services, known for mobilizing capital to help governments, corporations, institutions, and individuals around the world achieve their financial goals.&lt;br&gt;&lt;br&gt;Interested in joining a team that’s eager to create, innovate and make an impact on the world? Read on.&lt;br&gt;&lt;br&gt;Partner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initiatives.&lt;br&gt;&lt;br&gt;&lt;strong&gt;What You’ll Do In The Role&lt;br&gt;&lt;br&gt;&lt;/strong&gt;&lt;ul&gt;&lt;li&gt;Hands-On Engineer who acts as the catalyst in building and deploying AI Agents at scale to accelerate technology and business roadmaps&lt;/li&gt;&lt;li&gt;Evaluate state-of-art Gen AI centric technologies and prototype solutions to improve our architecture and platform&lt;/li&gt;&lt;li&gt;Design, Implement and Operationalize distributed, scalable, and reliable data flows that ingest, process, store, and access data at scale in batch / real-time used by AI Agents&lt;br&gt;&lt;br&gt;&lt;/li&gt;&lt;/ul&gt;&lt;strong&gt;What You’ll Bring To The Role&lt;br&gt;&lt;br&gt;&lt;/strong&gt;&lt;ul&gt;&lt;li&gt;Experienced professional with 2+ years of experience working towards building GenAI solutions &amp;amp; supporting components design, architecture, development, and operationalization of agent orchestrations at scale&lt;/li&gt;&lt;li&gt;Agent Orchestration Frameworks: Mastery of frameworks like LangChain, LangGraph, CrewAI, and Microsoft's AutoGen to build multi-agent workflows.&lt;/li&gt;&lt;li&gt;LLM Implementation: Deep expertise in LLM APIs (OpenAI, Anthropic, AWS Bedrock), prompt engineering (Chain-of-Thought), and fine-tuning for specific agentic behaviors.&lt;/li&gt;&lt;li&gt;Memory &amp;amp; Context Management: Ability to implement complex memory systems, including vector databases (Pinecone, Weaviate) and Retrieval-Augmented Generation (RAG) pipelines.&lt;/li&gt;&lt;li&gt;Tool-Calling &amp;amp; APIs: Proficiency in integrating external APIs as agent tools, including function calling and error handling for malformed model outputs.&lt;/li&gt;&lt;li&gt;Languages &amp;amp; Backend: Expert-level Python (mandatory), often paired with FastAPI, Node.js, or Go. Familiarity with Docker and Kubernetes for containerized deployment is standard.&lt;/li&gt;&lt;li&gt;Ability to work in Fast paced and Dynamic environment.&lt;/li&gt;&lt;li&gt;Good written and verbal communication skills&lt;br&gt;&lt;br&gt;&lt;/li&gt;&lt;/ul&gt;&lt;strong&gt;What You Can Expect From Morgan Stanley&lt;br&gt;&lt;br&gt;&lt;/strong&gt;At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work.&lt;br&gt;&lt;br&gt;To learn more about our offices across the globe, please copy and paste https://www.morganstanley.com/about-us/global-offices into your browser.&lt;br&gt;&lt;br&gt;Expected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programs.&lt;br&gt;&lt;br&gt;Morgan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talents.&lt;br&gt;&lt;br&gt;Our workforce reflects a broad cross-section of the global communities in which we operate, bringing a variety of backgrounds, talents, perspectives, and experiences.&lt;br&gt;&lt;br&gt;For more information, please visit: https://www.morganstanley.com/people-opportunities/eeo.</x:v>
      </x:c>
      <x:c r="AB24" s="68" t="str">
        <x:v>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
What You’ll Do In The Role
- Hands-On Engineer who acts as the catalyst in building and deploying AI Agents at scale to accelerate technology and business roadmaps
- Evaluate state-of-art Gen AI centric technologies and prototype solutions to improve our architecture and platform
- Design, Implement and Operationalize distributed, scalable, and reliable data flows that ingest, process, store, and access data at scale in batch / real-time used by AI Agents
What You’ll Bring To The Role
- Experienced professional with 2+ years of experience working towards building GenAI solutions &amp;amp; supporting components design, architecture, development, and operationalization of agent orchestrations at scale
- Agent Orchestration Frameworks: Mastery of frameworks like LangChain, LangGraph, CrewAI, and Microsoft's AutoGen to build multi-agent workflows.
- LLM Implementation: Deep expertise in LLM APIs (OpenAI, Anthropic, AWS Bedrock), prompt engineering (Chain-of-Thought), and fine-tuning for specific agentic behaviors.
- Memory &amp;amp; Context Management: Ability to implement complex memory systems, including vector databases (Pinecone, Weaviate) and Retrieval-Augmented Generation (RAG) pipelines.
- Tool-Calling &amp;amp; APIs: Proficiency in integrating external APIs as agent tools, including function calling and error handling for malformed model outputs.
- Languages &amp;amp; Backend: Expert-level Python (mandatory), often paired with FastAPI, Node.js, or Go. Familiarity with Docker and Kubernetes for containerized deployment is standard.
- Ability to work in Fast paced and Dynamic environment.
- Good written and verbal communication skills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x:v>
      </x:c>
      <x:c r="AC24" s="68" t="str">
        <x:v>Not Applicable</x:v>
      </x:c>
      <x:c r="AD24" s="68" t="str">
        <x:v>Full-time</x:v>
      </x:c>
      <x:c r="AE24" s="68" t="str">
        <x:v>Engineering and Information Technology</x:v>
      </x:c>
      <x:c r="AF24" s="68" t="str">
        <x:v>Financial Services</x:v>
      </x:c>
      <x:c r="AG24" s="68" t="str">
        <x:v>https://www.linkedin.com/jobs/search/?position=1&amp;pageNum=0&amp;keywords=AI+Engineer&amp;location=United+States&amp;distance=0&amp;f_TPR=r86400</x:v>
      </x:c>
      <x:c r="AH24" s="68" t="str">
        <x:v>{'type': 'PostalAddress', 'streetAddress': '1585 Broadway', 'addressLocality': 'New York', 'addressRegion': 'NY', 'postalCode': '10036', 'addressCountry': 'US'}</x:v>
      </x:c>
      <x:c r="AI24" s="68" t="str">
        <x:v>http://www.morganstanley.com</x:v>
      </x:c>
      <x:c r="AJ24" s="68"/>
      <x:c r="AK24" s="68" t="str">
        <x:v>Morgan Stanley is a leading global financial services firm providing investment banking, securities, wealth management and investment management services. With a 90-year history, Morgan Stanley today operates in 42 countries serving corporations, governments, institutions, families and individuals. 
Morgan Stanley is a talent business that demands ongoing investment in our people. Key drivers of our success have been the breadth and tenure of our talent, as well as a unique culture and a set of values that guide our employees. We view Morgan Stanley’s talent and culture as a key competitive advantage enabling the Firm to achieve its potential and drive future success.
As an integrated firm with scaled capabilities, we partner with clients at every stage of their financial journey. Our ability to do so is grounded in four pillars that define Morgan Stanley: a clear and consistent strategy to help clients raise, manage and allocate capital; a culture grounded in rigor, humility and partnership; financial strength through capital, earnings power and durability; and growth driven by smart, strategic investment globally.
These pillars enable Morgan Stanley to provide trusted advice, operate with resilience across market cycles and deliver long-term value to our clients and shareholders. 
Social Media Disclosures: mgstn.ly/SocialDisclosure
</x:v>
      </x:c>
      <x:c r="AL24" s="68"/>
      <x:c r="AM24" s="68"/>
      <x:c r="AN24" s="68"/>
      <x:c r="AO24" s="68"/>
      <x:c r="AP24" s="68"/>
    </x:row>
    <x:row r="25" s="25" customFormat="1" ht="22" customHeight="1">
      <x:c r="A25" s="68" t="str">
        <x:v>4451665336</x:v>
      </x:c>
      <x:c r="B25" s="68" t="str">
        <x:v>AI Engineer</x:v>
      </x:c>
      <x:c r="C25" s="68" t="str">
        <x:v>Generative Futures</x:v>
      </x:c>
      <x:c r="D25" s="68" t="str">
        <x:v>Miami, FL</x:v>
      </x:c>
      <x:c r="E25" s="68" t="str">
        <x:v>Applied</x:v>
      </x:c>
      <x:c r="F25" s="68"/>
      <x:c r="G25" s="69"/>
      <x:c r="H25" s="85" t="str">
        <x:v>2026-08-11</x:v>
      </x:c>
      <x:c r="I25" s="85"/>
      <x:c r="J25" s="68" t="str">
        <x:v>200</x:v>
      </x:c>
      <x:c r="K25" s="70"/>
      <x:c r="L25" s="86"/>
      <x:c r="M25" s="87"/>
      <x:c r="N25" s="71"/>
      <x:c r="O25" s="88"/>
      <x:c r="P25" s="89"/>
      <x:c r="Q25" s="89"/>
      <x:c r="R25" s="89"/>
      <x:c r="S25" s="73"/>
      <x:c r="T25" s="68"/>
      <x:c r="U25" s="68" t="str">
        <x:v>https://www.linkedin.com/jobs/view/ai-engineer-at-generative-futures-4451665336?position=1&amp;pageNum=0&amp;refId=XkauYjvUpjjZVSMmrtVgdw%3D%3D&amp;trackingId=501BKSVxdzOGsP%2BjuhpwKg%3D%3D</x:v>
      </x:c>
      <x:c r="V25" s="68" t="str">
        <x:v>501BKSVxdzOGsP+juhpwKg==</x:v>
      </x:c>
      <x:c r="W25" s="68" t="str">
        <x:v>XkauYjvUpjjZVSMmrtVgdw==</x:v>
      </x:c>
      <x:c r="X25" s="68" t="str">
        <x:v>https://ae.linkedin.com/company/generative-futures?trk=public_jobs_jserp-result_job-search-card-subtitle</x:v>
      </x:c>
      <x:c r="Y25" s="68" t="str">
        <x:v>https://media.licdn.com/dms/image/v2/D4D0BAQEU9UK4GyWUcw/company-logo_100_100/B4DZlSAl2PJQAU-/0/1758017511368/generative_futures_logo?e=2147483647&amp;v=beta&amp;t=WKT-Zu3oWqgZzNluSDL_Rbn28tL5tGaKV5z1NcVL_SM</x:v>
      </x:c>
      <x:c r="Z25" s="68"/>
      <x:c r="AA25" s="68" t="str">
        <x:v>&lt;p&gt;&lt;strong&gt;AI Engineer – Multi-Agent Systems&lt;/strong&gt;&lt;/p&gt;&lt;p&gt;&lt;strong&gt;Location:&lt;/strong&gt; Miami, Florida&lt;/p&gt;&lt;p&gt;&lt;strong&gt;Employment:&lt;/strong&gt; Full-time&lt;/p&gt;&lt;p&gt;&lt;br&gt;&lt;/p&gt;&lt;p&gt;We are working with a technology company in Miami that is building production-grade AI products centred around autonomous, multi-agent systems.&lt;/p&gt;&lt;p&gt;&lt;br&gt;&lt;/p&gt;&lt;p&gt;They are looking for an AI Engineer with strong software engineering fundamentals who has hands-on experience designing, building and deploying agentic AI systems into production.&lt;/p&gt;&lt;p&gt;&lt;br&gt;&lt;/p&gt;&lt;p&gt;&lt;strong&gt;The Role&lt;/strong&gt;&lt;/p&gt;&lt;p&gt;You will work on the design and development of AI systems where multiple specialised agents collaborate, reason, use tools and interact with external systems to complete complex workflows.&lt;/p&gt;&lt;p&gt;&lt;br&gt;&lt;/p&gt;&lt;p&gt;This is a hands-on engineering position covering agent architecture, LLM orchestration, retrieval, tool use, evaluation and production deployment.&lt;/p&gt;&lt;p&gt;&lt;br&gt;&lt;/p&gt;&lt;p&gt;&lt;strong&gt;Responsibilities&lt;/strong&gt;&lt;/p&gt;&lt;ul&gt;&lt;li&gt;Design and build production-grade multi-agent and agentic AI systems.&lt;/li&gt;&lt;li&gt;Develop agent orchestration, routing, planning and tool-use workflows.&lt;/li&gt;&lt;li&gt;Build integrations between AI agents, APIs, databases and internal/external tools.&lt;/li&gt;&lt;li&gt;Develop RAG and retrieval systems using vector databases and modern retrieval techniques.&lt;/li&gt;&lt;li&gt;Implement function calling, structured outputs and context management.&lt;/li&gt;&lt;li&gt;Build evaluation frameworks to measure agent performance, accuracy and reliability.&lt;/li&gt;&lt;li&gt;Develop guardrails and validation layers to reduce hallucinations and improve system safety.&lt;/li&gt;&lt;li&gt;Deploy and operate AI services in production cloud environments.&lt;/li&gt;&lt;li&gt;Work closely with product and engineering teams to take AI products from concept through to production.&lt;/li&gt;&lt;/ul&gt;&lt;p&gt;&lt;br&gt;&lt;/p&gt;&lt;p&gt;&lt;strong&gt;What We're Looking For&lt;/strong&gt;&lt;/p&gt;&lt;ul&gt;&lt;li&gt;Strong Python and software engineering fundamentals.&lt;/li&gt;&lt;li&gt;Commercial experience building LLM-powered applications.&lt;/li&gt;&lt;li&gt;Hands-on experience with &lt;strong&gt;multi-agent or agentic AI systems&lt;/strong&gt;.&lt;/li&gt;&lt;li&gt;Experience with frameworks such as &lt;strong&gt;LangGraph, LangChain, CrewAI, Semantic Kernel, Google ADK&lt;/strong&gt; or similar.&lt;/li&gt;&lt;li&gt;Strong understanding of &lt;strong&gt;RAG, vector search, embeddings and retrieval architectures&lt;/strong&gt;.&lt;/li&gt;&lt;li&gt;Experience with &lt;strong&gt;LLM tool/function calling and API integrations&lt;/strong&gt;.&lt;/li&gt;&lt;li&gt;Experience deploying AI/ML applications into production.&lt;/li&gt;&lt;li&gt;Understanding of LLM evaluation, observability and monitoring.&lt;/li&gt;&lt;li&gt;Experience with AWS, Azure or GCP.&lt;/li&gt;&lt;li&gt;Docker, Kubernetes and modern CI/CD experience is advantageous.&lt;/li&gt;&lt;/ul&gt;&lt;p&gt;&lt;br&gt;&lt;/p&gt;&lt;p&gt;&lt;strong&gt;Ideal Background&lt;/strong&gt;&lt;/p&gt;&lt;p&gt;You have built AI agents that do more than answer questions.&lt;/p&gt;&lt;p&gt;&lt;br&gt;&lt;/p&gt;&lt;p&gt;You have experience creating systems where agents can reason across multiple steps, call tools, retrieve information, interact with other agents and execute workflows reliably in a production environment.&lt;/p&gt;&lt;p&gt;&lt;br&gt;&lt;/p&gt;&lt;p&gt;Experience building customer-facing AI products or AI systems operating at meaningful production scale would be particularly relevant.&lt;/p&gt;</x:v>
      </x:c>
      <x:c r="AB25" s="68" t="str">
        <x:v>
AI Engineer – Multi-Agent Systems
Location: Miami, Florida
Employment: Full-time
We are working with a technology company in Miami that is building production-grade AI products centred around autonomous, multi-agent systems.
They are looking for an AI Engineer with strong software engineering fundamentals who has hands-on experience designing, building and deploying agentic AI systems into production.
The Role
You will work on the design and development of AI systems where multiple specialised agents collaborate, reason, use tools and interact with external systems to complete complex workflows.
This is a hands-on engineering position covering agent architecture, LLM orchestration, retrieval, tool use, evaluation and production deployment.
Responsibilities
- Design and build production-grade multi-agent and agentic AI systems.
- Develop agent orchestration, routing, planning and tool-use workflows.
- Build integrations between AI agents, APIs, databases and internal/external tools.
- Develop RAG and retrieval systems using vector databases and modern retrieval techniques.
- Implement function calling, structured outputs and context management.
- Build evaluation frameworks to measure agent performance, accuracy and reliability.
- Develop guardrails and validation layers to reduce hallucinations and improve system safety.
- Deploy and operate AI services in production cloud environments.
- Work closely with product and engineering teams to take AI products from concept through to production.
What We're Looking For
- Strong Python and software engineering fundamentals.
- Commercial experience building LLM-powered applications.
- Hands-on experience with multi-agent or agentic AI systems.
- Experience with frameworks such as LangGraph, LangChain, CrewAI, Semantic Kernel, Google ADK or similar.
- Strong understanding of RAG, vector search, embeddings and retrieval architectures.
- Experience with LLM tool/function calling and API integrations.
- Experience deploying AI/ML applications into production.
- Understanding of LLM evaluation, observability and monitoring.
- Experience with AWS, Azure or GCP.
- Docker, Kubernetes and modern CI/CD experience is advantageous.
Ideal Background
You have built AI agents that do more than answer questions.
You have experience creating systems where agents can reason across multiple steps, call tools, retrieve information, interact with other agents and execute workflows reliably in a production environment.
Experience building customer-facing AI products or AI systems operating at meaningful production scale would be particularly relevant.</x:v>
      </x:c>
      <x:c r="AC25" s="68" t="str">
        <x:v>Mid-Senior level</x:v>
      </x:c>
      <x:c r="AD25" s="68" t="str">
        <x:v>Full-time</x:v>
      </x:c>
      <x:c r="AE25" s="68" t="str">
        <x:v>Consulting</x:v>
      </x:c>
      <x:c r="AF25" s="68" t="str">
        <x:v>Staffing and Recruiting</x:v>
      </x:c>
      <x:c r="AG25" s="68" t="str">
        <x:v>https://www.linkedin.com/jobs/search/?position=1&amp;pageNum=0&amp;keywords=AI+Engineer&amp;location=United+States&amp;distance=0&amp;f_TPR=r86400</x:v>
      </x:c>
      <x:c r="AH25" s="68" t="str">
        <x:v>{'type': 'PostalAddress', 'addressLocality': 'Dubai', 'addressCountry': 'AE'}</x:v>
      </x:c>
      <x:c r="AI25" s="68" t="str">
        <x:v>https://genfutures.ai/</x:v>
      </x:c>
      <x:c r="AJ25" s="68" t="str">
        <x:v>Building the Teams that Generate the Future</x:v>
      </x:c>
      <x:c r="AK25" s="68" t="str">
        <x:v>Generative Futures is a recruitment company based in Dubai, helping high-growth companies build world-class teams across AI, engineering, and compliance. We combine global reach with deep market expertise to deliver talent that drives lasting impact.
🟣 AI &amp; Machine Learning - ML engineers, data scientists, NLP specialists, and AI researchers powering the next generation of intelligent systems.
🟣 Engineering - Software, data, DevOps, and cloud specialists building scalable products and infrastructure.
🟣 Compliance &amp; Risk - Governance and regulatory leaders safeguarding operational integrity in evolving markets.
🟣 Sales, Partnerships &amp; Revenue Leadership - Commercial teams across sales, partnerships, go to market and revenue leadership, enabling companies to scale faster and deepen customer engagement.
Our work is delivered through three tailored models:
GenCore — Contingent search for critical hires.
GenScale — Multi-hire projects for periods of rapid growth.
GenSearch — Retained and executive search for leadership and strategic roles.
Every search is powered by modern AI-enabled tools, but grounded in what matters most: human connection, market insight, and an uncompromising commitment to quality.</x:v>
      </x:c>
      <x:c r="AL25" s="68"/>
      <x:c r="AM25" s="68"/>
      <x:c r="AN25" s="68"/>
      <x:c r="AO25" s="68"/>
      <x:c r="AP25" s="68"/>
    </x:row>
    <x:row r="26" s="25" customFormat="1" ht="22" customHeight="1">
      <x:c r="A26" s="68" t="str">
        <x:v>4452493900</x:v>
      </x:c>
      <x:c r="B26" s="68" t="str">
        <x:v>Applied AI Engineer</x:v>
      </x:c>
      <x:c r="C26" s="68" t="str">
        <x:v>MeeBoss</x:v>
      </x:c>
      <x:c r="D26" s="68" t="str">
        <x:v>San Francisco, CA</x:v>
      </x:c>
      <x:c r="E26" s="68" t="str">
        <x:v>Failed</x:v>
      </x:c>
      <x:c r="F26" s="68"/>
      <x:c r="G26" s="69"/>
      <x:c r="H26" s="85" t="str">
        <x:v>2026-08-11</x:v>
      </x:c>
      <x:c r="I26" s="85"/>
      <x:c r="J26" s="68" t="str">
        <x:v>34</x:v>
      </x:c>
      <x:c r="K26" s="70"/>
      <x:c r="L26" s="86"/>
      <x:c r="M26" s="87"/>
      <x:c r="N26" s="71"/>
      <x:c r="O26" s="88"/>
      <x:c r="P26" s="89"/>
      <x:c r="Q26" s="89"/>
      <x:c r="R26" s="89"/>
      <x:c r="S26" s="73"/>
      <x:c r="T26" s="68"/>
      <x:c r="U26" s="68" t="str">
        <x:v>https://www.linkedin.com/jobs/view/applied-ai-engineer-at-meeboss-4452493900?position=1&amp;pageNum=0&amp;refId=94JxmcXRUt1UHhFMeZWk4g%3D%3D&amp;trackingId=ThcK%2F60VMiAxAm0Vj3f8kg%3D%3D</x:v>
      </x:c>
      <x:c r="V26" s="68" t="str">
        <x:v>ThcK/60VMiAxAm0Vj3f8kg==</x:v>
      </x:c>
      <x:c r="W26" s="68" t="str">
        <x:v>94JxmcXRUt1UHhFMeZWk4g==</x:v>
      </x:c>
      <x:c r="X26" s="68" t="str">
        <x:v>https://www.linkedin.com/company/meeboss?trk=public_jobs_jserp-result_job-search-card-subtitle</x:v>
      </x:c>
      <x:c r="Y26" s="68" t="str">
        <x:v>https://media.licdn.com/dms/image/v2/D560BAQH7KwZNWpOqRg/company-logo_100_100/B56ZcuuX28GsAQ-/0/1748835598284/meeboss_logo?e=2147483647&amp;v=beta&amp;t=kIyFeq5olRjgZVEaLtZYV4GgvbbKxUxoI-Xw6gtzuHY</x:v>
      </x:c>
      <x:c r="Z26" s="68"/>
      <x:c r="AA26" s="68" t="str">
        <x:v>&lt;p&gt;&lt;strong&gt;About the job&lt;/strong&gt;&lt;/p&gt;&lt;p&gt;&lt;br&gt;&lt;/p&gt;&lt;p&gt;MeeBoss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enterprises.&lt;/p&gt;&lt;p&gt;&lt;br&gt;&lt;/p&gt;&lt;p&gt;The position focuses on browser agent reliability, document understanding, and inference optimization to improve accuracy and speed.&lt;/p&gt;&lt;p&gt;&lt;br&gt;&lt;/p&gt;&lt;p&gt;&lt;strong&gt;Job title&lt;/strong&gt;&lt;/p&gt;&lt;p&gt;&lt;br&gt;&lt;/p&gt;&lt;p&gt;Applied AI Engineer&lt;/p&gt;&lt;p&gt;&lt;br&gt;&lt;/p&gt;&lt;p&gt;&lt;strong&gt;Company&lt;/strong&gt;&lt;/p&gt;&lt;p&gt;&lt;br&gt;&lt;/p&gt;&lt;p&gt;MeeBoss&lt;/p&gt;&lt;p&gt;&lt;br&gt;&lt;/p&gt;&lt;p&gt;&lt;strong&gt;Location&lt;/strong&gt;&lt;/p&gt;&lt;p&gt;&lt;br&gt;&lt;/p&gt;&lt;p&gt;San Francisco, CA On-site&lt;/p&gt;&lt;p&gt;&lt;br&gt;&lt;/p&gt;&lt;p&gt;&lt;strong&gt;Compensation&lt;/strong&gt;&lt;/p&gt;&lt;p&gt;&lt;br&gt;&lt;/p&gt;&lt;p&gt;$180,000-250,000/year&lt;/p&gt;&lt;p&gt;&lt;br&gt;&lt;/p&gt;&lt;p&gt;&lt;strong&gt;What you will do&lt;/strong&gt;&lt;/p&gt;&lt;p&gt;&lt;br&gt;&lt;/p&gt;&lt;ul&gt;&lt;li&gt;Work on browser agent reliability, document understanding, and inference optimization.&lt;/li&gt;&lt;li&gt;Push to state-of-the-art across core automation capabilities including UI interaction, unstructured data parsing, and tool use.&lt;/li&gt;&lt;li&gt;Build adaptive systems that self-heal when environments change.&lt;/li&gt;&lt;li&gt;Design fine-tuning pipelines that learn from customer-specific workflows.&lt;/li&gt;&lt;li&gt;Optimize latency across the stack through model selection, quantization, caching, and routing strategies.&lt;/li&gt;&lt;li&gt;Turn research into production systems.&lt;/li&gt;&lt;/ul&gt;&lt;p&gt;&lt;br&gt;&lt;/p&gt;&lt;p&gt;&lt;strong&gt;What we are looking for&lt;/strong&gt;&lt;/p&gt;&lt;p&gt;&lt;br&gt;&lt;/p&gt;&lt;ul&gt;&lt;li&gt;Strong Python expertise and proficiency in ML frameworks, particularly PyTorch.&lt;/li&gt;&lt;li&gt;Eval-and-metric mindset, focusing on production metrics rather than just benchmarks.&lt;/li&gt;&lt;li&gt;Comfort with messy data and the ability to make it useful.&lt;/li&gt;&lt;li&gt;Track record of shipping end-to-end systems.&lt;/li&gt;&lt;li&gt;Clear communication skills to describe work without buzzwords.&lt;/li&gt;&lt;li&gt;Based in San Francisco or willing to relocate for in-person work 5 days a week.&lt;/li&gt;&lt;li&gt;Experience with RL, retrieval systems, or agent-based systems (Nice-to-have).&lt;/li&gt;&lt;li&gt;Cross-stack range including inference optimization, data pipelines, fine-tuning, and model monitoring (Nice-to-have).&lt;/li&gt;&lt;li&gt;Published ML papers or significant OSS contributions (Nice-to-have).&lt;/li&gt;&lt;li&gt;Lab or research exposure (Nice-to-have).&lt;/li&gt;&lt;li&gt;Recent applied work on LLMs, browser agents, RAG, or production AI workflows (Nice-to-have).&lt;/li&gt;&lt;/ul&gt;&lt;p&gt;&lt;br&gt;&lt;/p&gt;&lt;p&gt;&lt;strong&gt;About MeeBoss&lt;/strong&gt;&lt;/p&gt;&lt;p&gt;&lt;br&gt;&lt;/p&gt;&lt;p&gt;MeeBoss helps job seekers and hiring teams make direct, relevant career connections.&lt;/p&gt;</x:v>
      </x:c>
      <x:c r="AB26" s="68" t="str">
        <x:v>
About the job
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
The position focuses on browser agent reliability, document understanding, and inference optimization to improve accuracy and speed.
Job title
Applied AI Engineer
Company
MeeBoss
Location
San Francisco, CA On-site
Compensation
$180,000-250,000/year
What you will do
- Work on browser agent reliability, document understanding, and inference optimization.
- Push to state-of-the-art across core automation capabilities including UI interaction, unstructured data parsing, and tool use.
- Build adaptive systems that self-heal when environments change.
- Design fine-tuning pipelines that learn from customer-specific workflows.
- Optimize latency across the stack through model selection, quantization, caching, and routing strategies.
- Turn research into production systems.
What we are looking for
- Strong Python expertise and proficiency in ML frameworks, particularly PyTorch.
- Eval-and-metric mindset, focusing on production metrics rather than just benchmarks.
- Comfort with messy data and the ability to make it useful.
- Track record of shipping end-to-end systems.
- Clear communication skills to describe work without buzzwords.
- Based in San Francisco or willing to relocate for in-person work 5 days a week.
- Experience with RL, retrieval systems, or agent-based systems (Nice-to-have).
- Cross-stack range including inference optimization, data pipelines, fine-tuning, and model monitoring (Nice-to-have).
- Published ML papers or significant OSS contributions (Nice-to-have).
- Lab or research exposure (Nice-to-have).
- Recent applied work on LLMs, browser agents, RAG, or production AI workflows (Nice-to-have).
About MeeBoss
MeeBoss helps job seekers and hiring teams make direct, relevant career connections.</x:v>
      </x:c>
      <x:c r="AC26" s="68" t="str">
        <x:v>Mid-Senior level</x:v>
      </x:c>
      <x:c r="AD26" s="68" t="str">
        <x:v>Full-time</x:v>
      </x:c>
      <x:c r="AE26" s="68" t="str">
        <x:v>Engineering, Information Technology, and Marketing</x:v>
      </x:c>
      <x:c r="AF26" s="68" t="str">
        <x:v>Human Resources Services</x:v>
      </x:c>
      <x:c r="AG26" s="68" t="str">
        <x:v>https://www.linkedin.com/jobs/search/?position=1&amp;pageNum=0&amp;keywords=AI+Engineer&amp;location=United+States&amp;distance=0&amp;f_TPR=r86400</x:v>
      </x:c>
      <x:c r="AH26" s="68" t="str">
        <x:v>{'type': 'PostalAddress', 'streetAddress': '10800 NE 8th St', 'addressLocality': 'Bellevue', 'addressRegion': 'Washington', 'postalCode': '98004', 'addressCountry': 'US'}</x:v>
      </x:c>
      <x:c r="AI26" s="68" t="str">
        <x:v>meeboss.com</x:v>
      </x:c>
      <x:c r="AJ26" s="68" t="str">
        <x:v>We simplify hiring through fast job matching and direct connections, all in one seamless platform.</x:v>
      </x:c>
      <x:c r="AK26" s="68" t="str">
        <x:v>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x:v>
      </x:c>
      <x:c r="AL26" s="68"/>
      <x:c r="AM26" s="68"/>
      <x:c r="AN26" s="68"/>
      <x:c r="AO26" s="68"/>
      <x:c r="AP26" s="68"/>
    </x:row>
    <x:row r="27" s="25" customFormat="1" ht="22" customHeight="1">
      <x:c r="A27" s="68" t="str">
        <x:v>4451405904</x:v>
      </x:c>
      <x:c r="B27" s="68" t="str">
        <x:v>AI/ML Engineer</x:v>
      </x:c>
      <x:c r="C27" s="68" t="str">
        <x:v>Apexon</x:v>
      </x:c>
      <x:c r="D27" s="68" t="str">
        <x:v>Indianapolis, IN</x:v>
      </x:c>
      <x:c r="E27" s="68" t="str">
        <x:v>Applied</x:v>
      </x:c>
      <x:c r="F27" s="68"/>
      <x:c r="G27" s="69"/>
      <x:c r="H27" s="85" t="str">
        <x:v>2026-08-10</x:v>
      </x:c>
      <x:c r="I27" s="85"/>
      <x:c r="J27" s="68" t="str">
        <x:v>200</x:v>
      </x:c>
      <x:c r="K27" s="70"/>
      <x:c r="L27" s="86"/>
      <x:c r="M27" s="87"/>
      <x:c r="N27" s="71"/>
      <x:c r="O27" s="88"/>
      <x:c r="P27" s="89"/>
      <x:c r="Q27" s="89"/>
      <x:c r="R27" s="89"/>
      <x:c r="S27" s="73"/>
      <x:c r="T27" s="68"/>
      <x:c r="U27" s="68" t="str">
        <x:v>https://www.linkedin.com/jobs/view/ai-ml-engineer-at-apexon-4451405904?position=60&amp;pageNum=0&amp;refId=s48tP56EQnHdC6rkSZpaEg%3D%3D&amp;trackingId=dCsiXdeF4KTWCnfyOCZy0Q%3D%3D</x:v>
      </x:c>
      <x:c r="V27" s="68" t="str">
        <x:v>dCsiXdeF4KTWCnfyOCZy0Q==</x:v>
      </x:c>
      <x:c r="W27" s="68" t="str">
        <x:v>s48tP56EQnHdC6rkSZpaEg==</x:v>
      </x:c>
      <x:c r="X27" s="68" t="str">
        <x:v>https://www.linkedin.com/company/apexon?trk=public_jobs_jserp-result_job-search-card-subtitle</x:v>
      </x:c>
      <x:c r="Y27" s="68" t="str">
        <x:v>https://media.licdn.com/dms/image/v2/C560BAQHehBd-C9n-AQ/company-logo_100_100/company-logo_100_100/0/1658434447598/apexon_logo?e=2147483647&amp;v=beta&amp;t=rY-hbkwT2d1CSCTFW1NLLiJNqcZm44piZJ9b3ZmXLvw</x:v>
      </x:c>
      <x:c r="Z27" s="68"/>
      <x:c r="AA27" s="68" t="str">
        <x:v>&lt;p&gt;Apexon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continents.&lt;/p&gt;&lt;p&gt;&lt;strong&gt;We enable #HumanFirstDIGITAL &lt;/strong&gt;&lt;/p&gt;&lt;p&gt;&lt;br&gt;&lt;/p&gt;&lt;p&gt;&lt;strong&gt;&lt;u&gt;AI/ML Engineer – Generative AI &amp;amp; Agentic AI- Indianapolis - Fulltime&lt;/u&gt;&lt;/strong&gt;&lt;/p&gt;&lt;p&gt;&lt;strong&gt;Experience:&lt;/strong&gt; 5–9 Years&lt;/p&gt;&lt;p&gt;&lt;strong&gt;Domain:&lt;/strong&gt; Healthcare &amp;amp; Life Sciences&lt;/p&gt;&lt;p&gt;&lt;strong&gt;Skills:&lt;/strong&gt; Generative AI | Agentic AI | Machine Learning | AWS | Python&lt;/p&gt;&lt;p&gt;We are looking for a hands-on &lt;strong&gt;AI/ML Engineer&lt;/strong&gt; to build and productionize AI solutions using &lt;strong&gt;Generative AI, Agentic AI, Machine Learning, and AWS&lt;/strong&gt;.&lt;/p&gt;&lt;p&gt;🔹 Key Responsibilities&lt;/p&gt;&lt;ul&gt;&lt;li&gt;Build end-to-end &lt;strong&gt;GenAI, RAG, Agentic AI, and ML solutions&lt;/strong&gt; using Python.&lt;/li&gt;&lt;li&gt;Develop LLM applications with &lt;strong&gt;prompt engineering, RAG, embeddings, vector search, tool calling, and structured outputs&lt;/strong&gt;.&lt;/li&gt;&lt;li&gt;Build agentic workflows using frameworks such as &lt;strong&gt;AWS Strands, LangGraph, LangChain, or equivalent&lt;/strong&gt;.&lt;/li&gt;&lt;li&gt;Develop and deploy solutions using &lt;strong&gt;Amazon Bedrock, SageMaker, Lambda, Step Functions, S3, OpenSearch, API Gateway, and ECS/Fargate&lt;/strong&gt;.&lt;/li&gt;&lt;li&gt;Implement testing, monitoring, security, CI/CD, and production support.&lt;/li&gt;&lt;li&gt;Collaborate with architects, data engineers, DevOps, QA, and client teams.&lt;/li&gt;&lt;li&gt;Work with and gain hands-on proficiency in &lt;strong&gt;Halo and Skybridge&lt;/strong&gt; platforms.&lt;/li&gt;&lt;/ul&gt;&lt;p&gt;🔹 Required Skills&lt;/p&gt;&lt;ul&gt;&lt;li&gt;&lt;strong&gt;5–9 years&lt;/strong&gt; of overall experience with strong hands-on &lt;strong&gt;AI/ML + AWS&lt;/strong&gt; implementation experience.&lt;/li&gt;&lt;li&gt;Strong &lt;strong&gt;Python&lt;/strong&gt; development skills.&lt;/li&gt;&lt;li&gt;Experience with &lt;strong&gt;Generative AI, LLMs, RAG, Agentic AI, and Machine Learning&lt;/strong&gt;.&lt;/li&gt;&lt;li&gt;Hands-on experience with &lt;strong&gt;Amazon Bedrock and SageMaker&lt;/strong&gt;.&lt;/li&gt;&lt;li&gt;Good understanding of &lt;strong&gt;AWS cloud architecture, APIs, databases, security, and CI/CD&lt;/strong&gt;.&lt;/li&gt;&lt;li&gt;Experience in &lt;strong&gt;Healthcare &amp;amp; Life Sciences&lt;/strong&gt; is preferred.&lt;/li&gt;&lt;li&gt;&lt;strong&gt;Halo and Skybridge experience is a strong plus.&lt;/strong&gt;&lt;/li&gt;&lt;/ul&gt;&lt;p&gt;&lt;strong&gt;Education:&lt;/strong&gt;&lt;/p&gt;&lt;p&gt;Bachelor’s of Science or Equivalent Studies.&lt;/p&gt;&lt;p&gt;&lt;br&gt;&lt;/p&gt;&lt;p&gt;&lt;strong&gt;Our Commitment to Diversity &amp;amp; Inclusion:&lt;/strong&gt;&lt;/p&gt;&lt;p&gt;Did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(apexon.com)&lt;/p&gt;&lt;p&gt;&lt;strong&gt;Our Commitment to Environment:&lt;/strong&gt;&lt;/p&gt;&lt;p&gt;Actively contribute to Apexon's commitment to environmental responsibility by following sustainable practices and supporting ESG initiatives.&lt;/p&gt;&lt;p&gt;&lt;br&gt;&lt;/p&gt;&lt;p&gt;&lt;strong&gt;Our Perks and Benefits:&lt;/strong&gt;&lt;/p&gt;&lt;p&gt;Our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assistance.&lt;/p&gt;&lt;p&gt;&lt;strong&gt;We also offer:&lt;/strong&gt;&lt;/p&gt;&lt;p&gt;oHealth Insurance with Dental &amp;amp; Vision&lt;/p&gt;&lt;p&gt;o401K Plan&lt;/p&gt;&lt;p&gt;oLife Insurance, STD &amp;amp; LTD&lt;/p&gt;&lt;p&gt;oPaid Vacations &amp;amp; Holidays&lt;/p&gt;&lt;p&gt;oPaid Parental Leave&lt;/p&gt;&lt;p&gt;oFSA Dependent &amp;amp; Limited Purpose care&lt;/p&gt;&lt;p&gt;&lt;/p&gt;</x:v>
      </x:c>
      <x:c r="AB27" s="68" t="str">
        <x:v>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AI/ML Engineer – Generative AI &amp;amp; Agentic AI- Indianapolis - Fulltime
Experience: 5–9 Years
Domain: Healthcare &amp;amp; Life Sciences
Skills: Generative AI | Agentic AI | Machine Learning | AWS | Python
We are looking for a hands-on AI/ML Engineer to build and productionize AI solutions using Generative AI, Agentic AI, Machine Learning, and AWS.
🔹 Key Responsibilities
- Build end-to-end GenAI, RAG, Agentic AI, and ML solutions using Python.
- Develop LLM applications with prompt engineering, RAG, embeddings, vector search, tool calling, and structured outputs.
- Build agentic workflows using frameworks such as AWS Strands, LangGraph, LangChain, or equivalent.
- Develop and deploy solutions using Amazon Bedrock, SageMaker, Lambda, Step Functions, S3, OpenSearch, API Gateway, and ECS/Fargate.
- Implement testing, monitoring, security, CI/CD, and production support.
- Collaborate with architects, data engineers, DevOps, QA, and client teams.
- Work with and gain hands-on proficiency in Halo and Skybridge platforms.
🔹 Required Skills
- 5–9 years of overall experience with strong hands-on AI/ML + AWS implementation experience.
- Strong Python development skills.
- Experience with Generative AI, LLMs, RAG, Agentic AI, and Machine Learning.
- Hands-on experience with Amazon Bedrock and SageMaker.
- Good understanding of AWS cloud architecture, APIs, databases, security, and CI/CD.
- Experience in Healthcare &amp;amp; Life Sciences is preferred.
- Halo and Skybridge experience is a strong plus.
Education:
Bachelor’s of Science or Equivalent Studies.
Our Commitment to Diversity &amp;amp; Inclusion:
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Commitment to Environment:
Actively contribute to Apexon's commitment to environmental responsibility by following sustainable practices and supporting ESG initiatives.
Our Perks and Benefits:
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
We also offer:
oHealth Insurance with Dental &amp;amp; Vision
o401K Plan
oLife Insurance, STD &amp;amp; LTD
oPaid Vacations &amp;amp; Holidays
oPaid Parental Leave
oFSA Dependent &amp;amp; Limited Purpose care
</x:v>
      </x:c>
      <x:c r="AC27" s="68" t="str">
        <x:v>Mid-Senior level</x:v>
      </x:c>
      <x:c r="AD27" s="68" t="str">
        <x:v>Full-time</x:v>
      </x:c>
      <x:c r="AE27" s="68" t="str">
        <x:v>Information Technology</x:v>
      </x:c>
      <x:c r="AF27" s="68" t="str">
        <x:v>IT Services and IT Consulting</x:v>
      </x:c>
      <x:c r="AG27" s="68" t="str">
        <x:v>https://www.linkedin.com/jobs/search/?position=1&amp;pageNum=0&amp;keywords=AI+Engineer&amp;location=United+States&amp;distance=0&amp;f_TPR=r604800</x:v>
      </x:c>
      <x:c r="AH27" s="68" t="str">
        <x:v>{'type': 'PostalAddress', 'streetAddress': '4655 Old Ironsides Dr', 'addressLocality': 'Santa Clara', 'addressRegion': 'California', 'postalCode': '95054', 'addressCountry': 'US'}</x:v>
      </x:c>
      <x:c r="AI27" s="68" t="str">
        <x:v>https://www.apexon.com/</x:v>
      </x:c>
      <x:c r="AJ27" s="68"/>
      <x:c r="AK27" s="68" t="str">
        <x:v>Apexon is a technology services firm specializing in accelerating business transformation and engineering intelligent enterprises. For over two decades, the company has been meeting clients wherever they are in the digital lifecycle and helping them outperform their competition through speed and innovation. Its reputation is built on a comprehensive suite of engineering services, a dedication to solving clients’ toughest technology problems, and a commitment to continuous improvement. The company focuses on Artificial Intelligence, Data and Analytics, Digital Engineering and Experience, and has deep expertise in Banking and Financial Services, Healthcare, and Life Sciences. 
Apexon is backed by Goldman Sachs Asset Management and Everstone Capital.
Learn more at Apexon.com.</x:v>
      </x:c>
      <x:c r="AL27" s="68"/>
      <x:c r="AM27" s="68"/>
      <x:c r="AN27" s="68"/>
      <x:c r="AO27" s="68"/>
      <x:c r="AP27" s="68"/>
    </x:row>
    <x:row r="28" s="25" customFormat="1" ht="22" customHeight="1">
      <x:c r="A28" s="68" t="str">
        <x:v>4432698824</x:v>
      </x:c>
      <x:c r="B28" s="68" t="str">
        <x:v>AI Agentic Engineer</x:v>
      </x:c>
      <x:c r="C28" s="68" t="str">
        <x:v>Tata Consultancy Services</x:v>
      </x:c>
      <x:c r="D28" s="68" t="str">
        <x:v>Detroit, MI</x:v>
      </x:c>
      <x:c r="E28" s="68" t="str">
        <x:v>Requires CAPTCHA</x:v>
      </x:c>
      <x:c r="F28" s="68"/>
      <x:c r="G28" s="69"/>
      <x:c r="H28" s="85" t="str">
        <x:v>2026-08-07</x:v>
      </x:c>
      <x:c r="I28" s="85"/>
      <x:c r="J28" s="68" t="str">
        <x:v>116</x:v>
      </x:c>
      <x:c r="K28" s="70"/>
      <x:c r="L28" s="86"/>
      <x:c r="M28" s="87"/>
      <x:c r="N28" s="71"/>
      <x:c r="O28" s="88"/>
      <x:c r="P28" s="89"/>
      <x:c r="Q28" s="89"/>
      <x:c r="R28" s="89"/>
      <x:c r="S28" s="73"/>
      <x:c r="T28" s="68"/>
      <x:c r="U28" s="68" t="str">
        <x:v>https://www.linkedin.com/jobs/view/ai-agentic-engineer-at-tata-consultancy-services-4432698824?position=57&amp;pageNum=0&amp;refId=s48tP56EQnHdC6rkSZpaEg%3D%3D&amp;trackingId=uBt95WhgtL%2BdL2q%2BSPoIDQ%3D%3D</x:v>
      </x:c>
      <x:c r="V28" s="68" t="str">
        <x:v>uBt95WhgtL+dL2q+SPoIDQ==</x:v>
      </x:c>
      <x:c r="W28" s="68" t="str">
        <x:v>s48tP56EQnHdC6rkSZpaEg==</x:v>
      </x:c>
      <x:c r="X28" s="68" t="str">
        <x:v>https://in.linkedin.com/company/tata-consultancy-services?trk=public_jobs_jserp-result_job-search-card-subtitle</x:v>
      </x:c>
      <x:c r="Y28" s="68" t="str">
        <x:v>https://media.licdn.com/dms/image/v2/D4D0BAQGsGR9p4ikS5w/company-logo_100_100/company-logo_100_100/0/1708946550425/tata_consultancy_services_logo?e=2147483647&amp;v=beta&amp;t=P-PkUMh7Ks1GQY0_l7GhzQiwfyLfQpvKWwX8Tq18Yc4</x:v>
      </x:c>
      <x:c r="Z28" s="68"/>
      <x:c r="AA28" s="68" t="str">
        <x:v>&lt;strong&gt;Job Description&lt;br&gt;&lt;br&gt;&lt;/strong&gt;Must Have Technical / Functional Skills&lt;br&gt;&lt;br&gt;&lt;ul&gt;&lt;li&gt; Core Engineering &amp;amp; Programming: Strong software engineering fundamentals with expert-level proficiency in Python. Experience with Java, Go, or TypeScript is a strong plus.&lt;/li&gt;&lt;li&gt; LLM &amp;amp; GenAI Application Development: Proven, hands-on experience building and deploying production-grade applications using Large Language Models (LLMs) like GPT, Claude, or Gemini.&lt;/li&gt;&lt;li&gt; This must go beyond simple API calls and include experience with tool/function-calling, structured outputs, and evaluation.&lt;/li&gt;&lt;li&gt; Agentic AI Frameworks &amp;amp; Orchestration: Demonstrable expertise in designing and implementing agentic workflows using frameworks like LangGraph, Semantic Kernel, AutoGen, or similar.&lt;/li&gt;&lt;li&gt; Experience with multi-agent systems, planning, and autonomous execution is critical.&lt;/li&gt;&lt;li&gt; RAG (Retrieval-Augmented Generation): Deep, practical knowledge of building and optimizing RAG pipelines. This includes data ingestion, various chunking strategies, embeddings, vector databases (e.g., Pinecone, Chroma, FAISS), and hybrid search/reranking.&lt;/li&gt;&lt;li&gt; Production &amp;amp; MLOps: Experience with production engineering practices, including building scalable APIs (REST, RPC), microservices, CI/CD pipelines, containerization (Docker, Kubernetes), and cloud platforms (AWS, Azure, or GCP).&lt;br&gt;&lt;br&gt;&lt;/li&gt;&lt;/ul&gt;Roles &amp;amp; Responsibilities&lt;br&gt;&lt;br&gt;&lt;ul&gt;&lt;li&gt;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platforms.&lt;/li&gt;&lt;li&gt; RAG and Grounding Implementation: Develop robust RAG pipelines to ground agent responses in factual, reliable data. This includes managing the full lifecycle from data ingestion and vectorization to retrieval and citation.&lt;/li&gt;&lt;li&gt; Tooling and Integration: Build and maintain the "tools" that agents use to interact with the digital world. Create secure, well-documented tool interfaces for internal services, databases, and third-party APIs.&lt;/li&gt;&lt;li&gt; Evaluation, Guardrails &amp;amp; Safety: Design and implement comprehensive evaluation frameworks to measure agent performance, accuracy, and reliability.&lt;/li&gt;&lt;li&gt; Develop and enforce safety guardrails, policy checks, and fallback mechanisms to ensure agents operate safely and predictably in production environments.&lt;/li&gt;&lt;li&gt; Optimization and Productionization: Debug, monitor, and optimize agentic systems for latency, cost, and efficiency. Own the end-to-end deployment process, including CI/CD, structured logging, and incident response for AI systems.&lt;br&gt;&lt;br&gt;&lt;/li&gt;&lt;/ul&gt;Generic Managerial Skills, If any&lt;br&gt;&lt;br&gt;&lt;ul&gt;&lt;li&gt; Problem-Solving &amp;amp; Critical Thinking: Ability to analyze complex, ambiguous problems and design innovative, practical solutions. Thrives in navigating the uncertainty inherent in emerging AI technologies.&lt;/li&gt;&lt;li&gt; Collaboration &amp;amp; Communication: Excellent communication skills with the ability to articulate complex technical concepts to both technical and non-technical stakeholders. Proven experience working cross-functionally with product, research, and infrastructure teams.&lt;/li&gt;&lt;li&gt; Ownership &amp;amp; Leadership: A bias for action and a strong sense of ownership. Capable of driving projects from conception to completion, mentoring junior engineers, and helping to define and influence AI strategy and best practices&lt;br&gt;&lt;br&gt;&lt;/li&gt;&lt;/ul&gt;Base Salary Range : $100,000 to $120,000 Per Annum&lt;br&gt;&lt;br&gt;&lt;strong&gt;TCS Employee Benefits Summary&lt;br&gt;&lt;br&gt;&lt;/strong&gt;Discretionary Annual Incentive.&lt;br&gt;&lt;br&gt;Comprehensive Medical Coverage: Medical &amp;amp; Health, Dental &amp;amp; Vision, Disability Planning &amp;amp; Insurance, Pet Insurance Plans.&lt;br&gt;&lt;br&gt;Family Support: Maternal &amp;amp; Parental Leaves.&lt;br&gt;&lt;br&gt;Insurance Options: Auto &amp;amp; Home Insurance, Identity Theft Protection.&lt;br&gt;&lt;br&gt;Convenience &amp;amp; Professional Growth: Commuter Benefits &amp;amp; Certification &amp;amp; Training Reimbursement.&lt;br&gt;&lt;br&gt;Time Off: Vacation, Time Off, Sick Leave &amp;amp; Holidays.&lt;br&gt;&lt;br&gt;Legal &amp;amp; Financial Assistance: Legal Assistance, 401K Plan, Performance Bonus, College Fund, Student Loan Refinancing.&lt;br&gt;&lt;br&gt;&lt;strong&gt;Qualifications: &lt;/strong&gt;BACHELOR OF COMPUTER SCIENCE&lt;br&gt;&lt;br&gt;</x:v>
      </x:c>
      <x:c r="AB28" s="68" t="str">
        <x:v>Job Description
Must Have Technical / Functional Skills
-  Core Engineering &amp;amp; Programming: Strong software engineering fundamentals with expert-level proficiency in Python. Experience with Java, Go, or TypeScript is a strong plus.
-  LLM &amp;amp; GenAI Application Development: Proven, hands-on experience building and deploying production-grade applications using Large Language Models (LLMs) like GPT, Claude, or Gemini.
-  This must go beyond simple API calls and include experience with tool/function-calling, structured outputs, and evaluation.
-  Agentic AI Frameworks &amp;amp; Orchestration: Demonstrable expertise in designing and implementing agentic workflows using frameworks like LangGraph, Semantic Kernel, AutoGen, or similar.
-  Experience with multi-agent systems, planning, and autonomous execution is critical.
-  RAG (Retrieval-Augmented Generation): Deep, practical knowledge of building and optimizing RAG pipelines. This includes data ingestion, various chunking strategies, embeddings, vector databases (e.g., Pinecone, Chroma, FAISS), and hybrid search/reranking.
-  Production &amp;amp; MLOps: Experience with production engineering practices, including building scalable APIs (REST, RPC), microservices, CI/CD pipelines, containerization (Docker, Kubernetes), and cloud platforms (AWS, Azure, or GCP).
Roles &amp;amp; Responsibilities
-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
-  RAG and Grounding Implementation: Develop robust RAG pipelines to ground agent responses in factual, reliable data. This includes managing the full lifecycle from data ingestion and vectorization to retrieval and citation.
-  Tooling and Integration: Build and maintain the "tools" that agents use to interact with the digital world. Create secure, well-documented tool interfaces for internal services, databases, and third-party APIs.
-  Evaluation, Guardrails &amp;amp; Safety: Design and implement comprehensive evaluation frameworks to measure agent performance, accuracy, and reliability.
-  Develop and enforce safety guardrails, policy checks, and fallback mechanisms to ensure agents operate safely and predictably in production environments.
-  Optimization and Productionization: Debug, monitor, and optimize agentic systems for latency, cost, and efficiency. Own the end-to-end deployment process, including CI/CD, structured logging, and incident response for AI systems.
Generic Managerial Skills, If any
-  Problem-Solving &amp;amp; Critical Thinking: Ability to analyze complex, ambiguous problems and design innovative, practical solutions. Thrives in navigating the uncertainty inherent in emerging AI technologies.
-  Collaboration &amp;amp; Communication: Excellent communication skills with the ability to articulate complex technical concepts to both technical and non-technical stakeholders. Proven experience working cross-functionally with product, research, and infrastructure teams.
-  Ownership &amp;amp; Leadership: A bias for action and a strong sense of ownership. Capable of driving projects from conception to completion, mentoring junior engineers, and helping to define and influence AI strategy and best practices
Base Salary Range : $100,000 to $120,000 Per Annum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&amp;amp; Certification &amp;amp; Training Reimbursement.
Time Off: Vacation, Time Off, Sick Leave &amp;amp; Holidays.
Legal &amp;amp; Financial Assistance: Legal Assistance, 401K Plan, Performance Bonus, College Fund, Student Loan Refinancing.
Qualifications: BACHELOR OF COMPUTER SCIENCE
</x:v>
      </x:c>
      <x:c r="AC28" s="68" t="str">
        <x:v>Not Applicable</x:v>
      </x:c>
      <x:c r="AD28" s="68" t="str">
        <x:v>Full-time</x:v>
      </x:c>
      <x:c r="AE28" s="68" t="str">
        <x:v>Engineering and Information Technology</x:v>
      </x:c>
      <x:c r="AF28" s="68" t="str">
        <x:v>IT Services and IT Consulting</x:v>
      </x:c>
      <x:c r="AG28" s="68" t="str">
        <x:v>https://www.linkedin.com/jobs/search/?position=1&amp;pageNum=0&amp;keywords=AI+Engineer&amp;location=United+States&amp;distance=0&amp;f_TPR=r604800</x:v>
      </x:c>
      <x:c r="AH28" s="68" t="str">
        <x:v>{'type': 'PostalAddress', 'streetAddress': 'Tata Consultancy Services', 'addressLocality': 'Mumbai', 'addressRegion': 'Maharashtra', 'postalCode': '400001', 'addressCountry': 'IN'}</x:v>
      </x:c>
      <x:c r="AI28" s="68" t="str">
        <x:v>https://www.tcs.com/</x:v>
      </x:c>
      <x:c r="AJ28" s="68"/>
      <x:c r="AK28" s="68" t="str">
        <x:v>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x:v>
      </x:c>
      <x:c r="AL28" s="68"/>
      <x:c r="AM28" s="68"/>
      <x:c r="AN28" s="68"/>
      <x:c r="AO28" s="68"/>
      <x:c r="AP28" s="68"/>
    </x:row>
    <x:row r="29" s="25" customFormat="1" ht="22" customHeight="1">
      <x:c r="A29" s="68" t="str">
        <x:v>4407160860</x:v>
      </x:c>
      <x:c r="B29" s="68" t="str">
        <x:v>Applied AI Engineer</x:v>
      </x:c>
      <x:c r="C29" s="68" t="str">
        <x:v>Rillet</x:v>
      </x:c>
      <x:c r="D29" s="68" t="str">
        <x:v>San Francisco, CA</x:v>
      </x:c>
      <x:c r="E29" s="68" t="str">
        <x:v>Applied</x:v>
      </x:c>
      <x:c r="F29" s="68"/>
      <x:c r="G29" s="69"/>
      <x:c r="H29" s="85" t="str">
        <x:v>2026-08-11</x:v>
      </x:c>
      <x:c r="I29" s="85"/>
      <x:c r="J29" s="68" t="str">
        <x:v>200</x:v>
      </x:c>
      <x:c r="K29" s="70"/>
      <x:c r="L29" s="86"/>
      <x:c r="M29" s="87"/>
      <x:c r="N29" s="71"/>
      <x:c r="O29" s="88"/>
      <x:c r="P29" s="89"/>
      <x:c r="Q29" s="89"/>
      <x:c r="R29" s="89"/>
      <x:c r="S29" s="73"/>
      <x:c r="T29" s="68"/>
      <x:c r="U29" s="68" t="str">
        <x:v>https://www.linkedin.com/jobs/view/applied-ai-engineer-at-rillet-4407160860?position=58&amp;pageNum=0&amp;refId=s48tP56EQnHdC6rkSZpaEg%3D%3D&amp;trackingId=FmY3vURcUtPDNqc2LYoHCA%3D%3D</x:v>
      </x:c>
      <x:c r="V29" s="68" t="str">
        <x:v>FmY3vURcUtPDNqc2LYoHCA==</x:v>
      </x:c>
      <x:c r="W29" s="68" t="str">
        <x:v>s48tP56EQnHdC6rkSZpaEg==</x:v>
      </x:c>
      <x:c r="X29" s="68" t="str">
        <x:v>https://www.linkedin.com/company/team-rillet?trk=public_jobs_jserp-result_job-search-card-subtitle</x:v>
      </x:c>
      <x:c r="Y29" s="68" t="str">
        <x:v>https://media.licdn.com/dms/image/v2/D560BAQF3L4XRe1toUA/company-logo_100_100/B56ZvCQCDnK0AQ-/0/1768490541608/team_rillet_logo?e=2147483647&amp;v=beta&amp;t=eEeTtFKiw7LQcFpXC8UxDBHdRqOh8f5PLPM_kennqfo</x:v>
      </x:c>
      <x:c r="Z29" s="68"/>
      <x:c r="AA29" s="68" t="str">
        <x:v>&lt;strong&gt;What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x:v>
      </x:c>
      <x:c r="AB29" s="68" t="str">
        <x:v>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x:v>
      </x:c>
      <x:c r="AC29" s="68" t="str">
        <x:v>Not Applicable</x:v>
      </x:c>
      <x:c r="AD29" s="68" t="str">
        <x:v>Full-time</x:v>
      </x:c>
      <x:c r="AE29" s="68" t="str">
        <x:v>Engineering and Information Technology</x:v>
      </x:c>
      <x:c r="AF29" s="68" t="str">
        <x:v>Software Development</x:v>
      </x:c>
      <x:c r="AG29" s="68" t="str">
        <x:v>https://www.linkedin.com/jobs/search/?position=1&amp;pageNum=0&amp;keywords=AI+Engineer&amp;location=United+States&amp;distance=0&amp;f_TPR=r604800</x:v>
      </x:c>
      <x:c r="AH29" s="68" t="str">
        <x:v>{'type': 'PostalAddress', 'addressLocality': 'San Francisco', 'addressRegion': 'CA', 'addressCountry': 'US'}</x:v>
      </x:c>
      <x:c r="AI29" s="68" t="str">
        <x:v>https://www.rillet.com/</x:v>
      </x:c>
      <x:c r="AJ29" s="68" t="str">
        <x:v>Rillet is the AI-native ERP designed to automate accounting and close books faster. Built by accountants for accountants</x:v>
      </x:c>
      <x:c r="AK29" s="68" t="str">
        <x:v>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x:v>
      </x:c>
      <x:c r="AL29" s="68"/>
      <x:c r="AM29" s="68"/>
      <x:c r="AN29" s="68"/>
      <x:c r="AO29" s="68"/>
      <x:c r="AP29" s="68"/>
    </x:row>
    <x:row r="30" s="25" customFormat="1" ht="22" customHeight="1">
      <x:c r="A30" s="68" t="str">
        <x:v>4449152363</x:v>
      </x:c>
      <x:c r="B30" s="68" t="str">
        <x:v>AI Engineer</x:v>
      </x:c>
      <x:c r="C30" s="68" t="str">
        <x:v>Stott and May</x:v>
      </x:c>
      <x:c r="D30" s="68" t="str">
        <x:v>New York City Metropolitan Area</x:v>
      </x:c>
      <x:c r="E30" s="68" t="str">
        <x:v>Applied</x:v>
      </x:c>
      <x:c r="F30" s="68"/>
      <x:c r="G30" s="69"/>
      <x:c r="H30" s="85" t="str">
        <x:v>2026-08-05</x:v>
      </x:c>
      <x:c r="I30" s="85"/>
      <x:c r="J30" s="68" t="str">
        <x:v>200</x:v>
      </x:c>
      <x:c r="K30" s="70"/>
      <x:c r="L30" s="86"/>
      <x:c r="M30" s="87"/>
      <x:c r="N30" s="71"/>
      <x:c r="O30" s="88"/>
      <x:c r="P30" s="89"/>
      <x:c r="Q30" s="89"/>
      <x:c r="R30" s="89"/>
      <x:c r="S30" s="73"/>
      <x:c r="T30" s="68"/>
      <x:c r="U30" s="68" t="str">
        <x:v>https://www.linkedin.com/jobs/view/ai-engineer-at-stott-and-may-4449152363?position=59&amp;pageNum=0&amp;refId=s48tP56EQnHdC6rkSZpaEg%3D%3D&amp;trackingId=qqqDG4VW%2FqpOV56IXc6DYA%3D%3D</x:v>
      </x:c>
      <x:c r="V30" s="68" t="str">
        <x:v>qqqDG4VW/qpOV56IXc6DYA==</x:v>
      </x:c>
      <x:c r="W30" s="68" t="str">
        <x:v>s48tP56EQnHdC6rkSZpaEg==</x:v>
      </x:c>
      <x:c r="X30" s="68" t="str">
        <x:v>https://uk.linkedin.com/company/stott-and-may?trk=public_jobs_jserp-result_job-search-card-subtitle</x:v>
      </x:c>
      <x:c r="Y30" s="68" t="str">
        <x:v>https://media.licdn.com/dms/image/v2/D4E0BAQEkWXS_H91Q-A/company-logo_100_100/company-logo_100_100/0/1719826350940/stott_and_may_logo?e=2147483647&amp;v=beta&amp;t=Z-2NAvqpjpx61zaIq6xGf2Q31KKBrubu7E65oUm503s</x:v>
      </x:c>
      <x:c r="Z30" s="68"/>
      <x:c r="AA30" s="68" t="str">
        <x:v>&lt;p&gt;&lt;strong&gt;AI Engineer - NYC-based company who raised in ~$50 mil in funding&lt;/strong&gt;&lt;/p&gt;&lt;p&gt;&lt;strong&gt;Location: Flatiron, NYC, in-person 5 days/week&lt;/strong&gt;&lt;/p&gt;&lt;p&gt;&lt;strong&gt;Compensation: $200K - $350K + Equity + Benefits &lt;/strong&gt;&lt;/p&gt;&lt;p&gt;&lt;br&gt;&lt;/p&gt;&lt;p&gt;&lt;strong&gt;About Us&lt;/strong&gt;&lt;/p&gt;&lt;p&gt;Our client is transforming the way organizations engage with their IT ecosystems. Backed by top-tier VC firms and founded by a former early hire at a tech-unicorn, they are fixing pain points in HR processes that will give valuable time back to IT teams.&lt;/p&gt;&lt;p&gt;&lt;br&gt;&lt;/p&gt;&lt;p&gt;&lt;strong&gt;Your Role&lt;/strong&gt;&lt;/p&gt;&lt;ul&gt;&lt;li&gt;Build and deploy ML models that power AI capabilities&lt;/li&gt;&lt;li&gt;Scale training and inference pipelines using LLMs, embeddings, and RAG&lt;/li&gt;&lt;li&gt;Collaborate with engineers and product managers to design AI-first features that enhance the platform&lt;/li&gt;&lt;/ul&gt;&lt;p&gt;&lt;br&gt;&lt;/p&gt;&lt;p&gt;&lt;strong&gt;We’re Looking For&lt;/strong&gt;&lt;/p&gt;&lt;ul&gt;&lt;li&gt;Strong Python skills and experience with ML frameworks&lt;/li&gt;&lt;li&gt;Familiarity with modern MLOps practices&lt;/li&gt;&lt;li&gt;A self-starter who thrives in fast-paced environments and takes ownership over all projects&lt;/li&gt;&lt;/ul&gt;&lt;p&gt;&lt;br&gt;&lt;/p&gt;&lt;p&gt;&lt;strong&gt;Why Join Us?&lt;/strong&gt;&lt;/p&gt;&lt;ul&gt;&lt;li&gt;Competitive compensation, equities, and benefits package&lt;/li&gt;&lt;li&gt;Chance to be at the forefront of a next generation AI platform as an early member of a high growth team&lt;/li&gt;&lt;/ul&gt;&lt;p&gt;&lt;br&gt;&lt;/p&gt;&lt;p&gt;Apply below if this seems like a good fit!&lt;/p&gt;&lt;p&gt;&lt;br&gt;&lt;/p&gt;&lt;p&gt;&lt;br&gt;&lt;/p&gt;</x:v>
      </x:c>
      <x:c r="AB30" s="68" t="str">
        <x:v>
AI Engineer - NYC-based company who raised in ~$50 mil in funding
Location: Flatiron, NYC, in-person 5 days/week
Compensation: $200K - $350K + Equity + Benefits 
About Us
Our client is transforming the way organizations engage with their IT ecosystems. Backed by top-tier VC firms and founded by a former early hire at a tech-unicorn, they are fixing pain points in HR processes that will give valuable time back to IT teams.
Your Role
- Build and deploy ML models that power AI capabilities
- Scale training and inference pipelines using LLMs, embeddings, and RAG
- Collaborate with engineers and product managers to design AI-first features that enhance the platform
We’re Looking For
- Strong Python skills and experience with ML frameworks
- Familiarity with modern MLOps practices
- A self-starter who thrives in fast-paced environments and takes ownership over all projects
Why Join Us?
- Competitive compensation, equities, and benefits package
- Chance to be at the forefront of a next generation AI platform as an early member of a high growth team
Apply below if this seems like a good fit!
</x:v>
      </x:c>
      <x:c r="AC30" s="68" t="str">
        <x:v>Not Applicable</x:v>
      </x:c>
      <x:c r="AD30" s="68" t="str">
        <x:v>Full-time</x:v>
      </x:c>
      <x:c r="AE30" s="68" t="str">
        <x:v>Information Technology</x:v>
      </x:c>
      <x:c r="AF30" s="68" t="str">
        <x:v>Staffing and Recruiting</x:v>
      </x:c>
      <x:c r="AG30" s="68" t="str">
        <x:v>https://www.linkedin.com/jobs/search/?position=1&amp;pageNum=0&amp;keywords=AI+Engineer&amp;location=United+States&amp;distance=0&amp;f_TPR=r604800</x:v>
      </x:c>
      <x:c r="AH30" s="68" t="str">
        <x:v>{'type': 'PostalAddress', 'streetAddress': '6th Floor, Cannon Green', 'addressLocality': 'London', 'postalCode': 'EC4R 0AA', 'addressCountry': 'GB'}</x:v>
      </x:c>
      <x:c r="AI30" s="68" t="str">
        <x:v>http://www.stottandmay.com</x:v>
      </x:c>
      <x:c r="AJ30" s="68"/>
      <x:c r="AK30" s="68" t="str">
        <x:v>In late 2009, Stott and May was founded on the belief that hiring managers should never have to make the choice between time to hire and quality of candidate. We noticed a gap in the market for a search offering that can combine the speed of contingent recruitment with a high value, high touch, insightful service more commonly found in the executive search space. A talent solution that's helpful, engaging, collaborative and stacked full of value-add. Built with the flexibility to provide our partners with a choice of best practice features that can be packaged to meet their unique hiring challenges.
We've been building our team alongside the technical teams of some of the worlds innovative businesses. Our 130 employees across London, Reading, Los Angeles and New York are cultivating specialist talent communities every day to deliver the connections to drive growth. It's time to build better, more personalised, recruitment campaigns that deliver talent on time. </x:v>
      </x:c>
      <x:c r="AL30" s="68"/>
      <x:c r="AM30" s="68"/>
      <x:c r="AN30" s="68"/>
      <x:c r="AO30" s="68"/>
      <x:c r="AP30" s="68"/>
    </x:row>
    <x:row r="31" s="25" customFormat="1" ht="22" customHeight="1">
      <x:c r="A31" s="68" t="str">
        <x:v>4448452785</x:v>
      </x:c>
      <x:c r="B31" s="68" t="str">
        <x:v>AI Engineer - OH</x:v>
      </x:c>
      <x:c r="C31" s="68" t="str">
        <x:v>LawPro.ai</x:v>
      </x:c>
      <x:c r="D31" s="68" t="str">
        <x:v>Ohio, United States</x:v>
      </x:c>
      <x:c r="E31" s="68" t="str">
        <x:v>Applied</x:v>
      </x:c>
      <x:c r="F31" s="68"/>
      <x:c r="G31" s="69"/>
      <x:c r="H31" s="85" t="str">
        <x:v>2026-08-06</x:v>
      </x:c>
      <x:c r="I31" s="85"/>
      <x:c r="J31" s="68" t="str">
        <x:v>25</x:v>
      </x:c>
      <x:c r="K31" s="70"/>
      <x:c r="L31" s="86"/>
      <x:c r="M31" s="87"/>
      <x:c r="N31" s="71"/>
      <x:c r="O31" s="88"/>
      <x:c r="P31" s="89"/>
      <x:c r="Q31" s="89"/>
      <x:c r="R31" s="89"/>
      <x:c r="S31" s="73"/>
      <x:c r="T31" s="68"/>
      <x:c r="U31" s="68" t="str">
        <x:v>https://www.linkedin.com/jobs/view/ai-engineer-oh-at-lawpro-ai-4448452785?position=56&amp;pageNum=0&amp;refId=s48tP56EQnHdC6rkSZpaEg%3D%3D&amp;trackingId=75CyXo7JBuNai7p1Wo6C1A%3D%3D</x:v>
      </x:c>
      <x:c r="V31" s="68" t="str">
        <x:v>75CyXo7JBuNai7p1Wo6C1A==</x:v>
      </x:c>
      <x:c r="W31" s="68" t="str">
        <x:v>s48tP56EQnHdC6rkSZpaEg==</x:v>
      </x:c>
      <x:c r="X31" s="68" t="str">
        <x:v>https://www.linkedin.com/company/lawpro-ai?trk=public_jobs_jserp-result_job-search-card-subtitle</x:v>
      </x:c>
      <x:c r="Y31" s="68" t="str">
        <x:v>https://media.licdn.com/dms/image/v2/D4E0BAQHBJHuDrk33Mw/company-logo_100_100/B4EZlYzYrxIkAQ-/0/1758131490414/lawpro_ai_logo?e=2147483647&amp;v=beta&amp;t=Hv62yYrYgW5ZOjhfBtaqhZYUjdhKXk2vnUlmQBF_40U</x:v>
      </x:c>
      <x:c r="Z31" s="68"/>
      <x:c r="AA31" s="68" t="str">
        <x:v>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x:v>
      </x:c>
      <x:c r="AB31" s="68" t="str">
        <x:v>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x:v>
      </x:c>
      <x:c r="AC31" s="68" t="str">
        <x:v>Not Applicable</x:v>
      </x:c>
      <x:c r="AD31" s="68" t="str">
        <x:v>Full-time</x:v>
      </x:c>
      <x:c r="AE31" s="68" t="str">
        <x:v>Sales, General Business, and Education</x:v>
      </x:c>
      <x:c r="AF31" s="68" t="str">
        <x:v>Wireless Services, Telecommunications, and Communications Equipment Manufacturing</x:v>
      </x:c>
      <x:c r="AG31" s="68" t="str">
        <x:v>https://www.linkedin.com/jobs/search/?position=1&amp;pageNum=0&amp;keywords=AI+Engineer&amp;location=United+States&amp;distance=0&amp;f_TPR=r604800</x:v>
      </x:c>
      <x:c r="AH31" s="68" t="str">
        <x:v>{'type': 'PostalAddress', 'streetAddress': '11859 Wilshire Blvd', 'addressLocality': 'Los Angeles', 'addressRegion': 'California', 'postalCode': '90025', 'addressCountry': 'US'}</x:v>
      </x:c>
      <x:c r="AI31" s="68" t="str">
        <x:v>https://lawpro.ai/</x:v>
      </x:c>
      <x:c r="AJ31" s="68" t="str">
        <x:v>Transforming Legal Workflows with AI – Built by Lawyers, for Lawyers.</x:v>
      </x:c>
      <x:c r="AK31" s="68" t="str">
        <x:v>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x:v>
      </x:c>
      <x:c r="AL31" s="68"/>
      <x:c r="AM31" s="68"/>
      <x:c r="AN31" s="68"/>
      <x:c r="AO31" s="68"/>
      <x:c r="AP31" s="68"/>
    </x:row>
    <x:row r="32" s="25" customFormat="1" ht="22" customHeight="1">
      <x:c r="A32" s="68" t="str">
        <x:v>4418544657</x:v>
      </x:c>
      <x:c r="B32" s="68" t="str">
        <x:v>Internal Systems Engineer (Applied AI)</x:v>
      </x:c>
      <x:c r="C32" s="68" t="str">
        <x:v>impact.com</x:v>
      </x:c>
      <x:c r="D32" s="68" t="str">
        <x:v>Columbus, OH</x:v>
      </x:c>
      <x:c r="E32" s="68" t="str">
        <x:v>Applied</x:v>
      </x:c>
      <x:c r="F32" s="68"/>
      <x:c r="G32" s="69"/>
      <x:c r="H32" s="85" t="str">
        <x:v>2026-08-09</x:v>
      </x:c>
      <x:c r="I32" s="85"/>
      <x:c r="J32" s="68" t="str">
        <x:v>125</x:v>
      </x:c>
      <x:c r="K32" s="70"/>
      <x:c r="L32" s="86"/>
      <x:c r="M32" s="87"/>
      <x:c r="N32" s="71"/>
      <x:c r="O32" s="88"/>
      <x:c r="P32" s="89"/>
      <x:c r="Q32" s="89"/>
      <x:c r="R32" s="89"/>
      <x:c r="S32" s="73"/>
      <x:c r="T32" s="68"/>
      <x:c r="U32" s="68" t="str">
        <x:v>https://www.linkedin.com/jobs/view/internal-systems-engineer-applied-ai-at-impact-com-4418544657?position=52&amp;pageNum=0&amp;refId=s48tP56EQnHdC6rkSZpaEg%3D%3D&amp;trackingId=GW2acwfG0RJnkjuBXqaMPQ%3D%3D</x:v>
      </x:c>
      <x:c r="V32" s="68" t="str">
        <x:v>GW2acwfG0RJnkjuBXqaMPQ==</x:v>
      </x:c>
      <x:c r="W32" s="68" t="str">
        <x:v>s48tP56EQnHdC6rkSZpaEg==</x:v>
      </x:c>
      <x:c r="X32" s="68" t="str">
        <x:v>https://www.linkedin.com/company/impactdotcom?trk=public_jobs_jserp-result_job-search-card-subtitle</x:v>
      </x:c>
      <x:c r="Y32" s="68" t="str">
        <x:v>https://media.licdn.com/dms/image/v2/D4E0BAQH7q0UZ8uSu5A/company-logo_100_100/B4EZ9Mawv.KQAM-/0/1783693512329/impactdotcom_logo?e=2147483647&amp;v=beta&amp;t=O-uH9Eb1lTnnjS5NAw3tw78qVBPyZm1RMxLptQjF9Ec</x:v>
      </x:c>
      <x:c r="Z32" s="68"/>
      <x:c r="AA32" s="68" t="str">
        <x:v>&lt;strong&gt;About Impact.com&lt;br&gt;&lt;br&gt;&lt;/strong&gt;impact.com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results.&lt;br&gt;&lt;br&gt;&lt;strong&gt;Your Role at &lt;/strong&gt;&lt;strong&gt;impact.com&lt;/strong&gt;&lt;strong&gt;:&lt;br&gt;&lt;br&gt;&lt;/strong&gt;Reporting to the Manager of Customer Operations Systems, the Internal Systems Engineer (Applied AI) is a specialized, high-impact builder role dedicated to supercharging our Customer Operations teams (Support, Success, Onboarding, Implementation).&lt;br&gt;&lt;br&gt;This is a highly practical, application-focused engineering position instrumental to our AI transformation. You will spend your time across three types of work:&lt;br&gt;&lt;br&gt;&lt;ul&gt;&lt;li&gt;Building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tickets.&lt;/li&gt;&lt;li&gt;Building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work.&lt;/li&gt;&lt;li&gt;Building robust internal software, integrations, and automations - such as developing custom FreshDesk widgets to support our agents. You will own the full lifecycle of these apps: building, hosting, monitoring, maintaining, and eventually retiring them when they're no longer needed.&lt;br&gt;&lt;br&gt;&lt;/li&gt;&lt;/ul&gt;Many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business.&lt;br&gt;&lt;br&gt;A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&lt;em&gt;with&lt;/em&gt; them, growing their skills in the process. You're an accelerator, not a bottleneck.&lt;br&gt;&lt;br&gt;This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offers.&lt;br&gt;&lt;br&gt;If you are that person - if you are a highly motivated, thoughtful builder - and you want to leverage applied AI on a daily basis, this is the role for you.&lt;br&gt;&lt;br&gt;&lt;strong&gt;What You'll Do:&lt;br&gt;&lt;br&gt;&lt;/strong&gt;&lt;ul&gt;&lt;li&gt;Software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once.&lt;/li&gt;&lt;li&gt;API &amp;amp; Integration Expertise: Deep experience working with REST APIs. You can easily build connectors between distinct SaaS platforms to automate data flows and trigger actions.&lt;/li&gt;&lt;li&gt;Applied AI Engineering: Hands-on experience with LLM orchestration frameworks (like LangChain or LangGraph). You understand MCPs, RAG pipelines, agentic workflows, DAG vs linear flows, engineering HITL systems, and have built real-world systems using these rails.&lt;/li&gt;&lt;li&gt;AI Evaluation &amp;amp; Quality: Experience setting up and running evals for LLM outputs. You know how to build systems that grade, evaluate, and test AI responses for accuracy and safety (e.g., LLM-as-a-judge). You understand CI/CD for AI systems and can build regression testing pipelines.&lt;/li&gt;&lt;li&gt;Platform Thinking: You don't just build one-off tools - you think about how to make your work reusable. You can design templates, abstractions, and deployment patterns that other people (including non-engineers) can use to build on top of what you've created.&lt;/li&gt;&lt;li&gt;Systems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issues.&lt;/li&gt;&lt;li&gt;Cross-Functional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yourself.&lt;/li&gt;&lt;li&gt;Autonomous Builder: You are a self-starter who thrives in an agile environment. You don't need excessive hand-holding to figure out how to host a script or deploy a small internal app.&lt;/li&gt;&lt;li&gt;Relentless Tinkerer: You were the first person in your current role to start building agents. You have had personal subscriptions to Claude, Gemini, ChatGPT, Cursor, etc.&lt;br&gt;&lt;br&gt;&lt;/li&gt;&lt;/ul&gt;&lt;strong&gt;What You &lt;em&gt;Bring: &lt;br&gt;&lt;br&gt;&lt;/em&gt;&lt;/strong&gt;&lt;ul&gt;&lt;li&gt;Experience building custom apps or integrations specifically for Freshdesk (or similar enterprise ticketing systems like Zendesk/Jira).&lt;/li&gt;&lt;li&gt;Background working in or building tools for Customer Support, Customer Success, or Onboarding teams.&lt;/li&gt;&lt;li&gt;Experience integrating with knowledge base platforms (like Gitbook or similar documentation sites).&lt;/li&gt;&lt;li&gt;Proven experience taking automation projects from concept to deployment within a large, complex organization.&lt;/li&gt;&lt;li&gt;Experience building internal platforms or developer tools that other teams use to self-serve.&lt;/li&gt;&lt;li&gt;Experience with monitoring and observability for AI systems in production.&lt;br&gt;&lt;br&gt;&lt;/li&gt;&lt;/ul&gt;&lt;strong&gt;Salary range: &lt;/strong&gt;$140,000.00 - $160,000.00 per year, plus an additional 5% variable annual bonus contingent on Company performance and eligible to receive a Restricted Stock Unit (RSU) grant.&lt;br&gt;&lt;br&gt;&lt;strong&gt;Benefits and Perks: &lt;br&gt;&lt;br&gt;&lt;/strong&gt;At impact.com, we believe that when you’re happy and fulfilled, you do your best work. That’s why we’ve built a benefits package that supports your well-being, growth, and work-life balance.&lt;br&gt;&lt;br&gt;&lt;ul&gt;&lt;li&gt;Medical, Dental, and Vision insurance&lt;/li&gt;&lt;li&gt;Office-only catered lunch every Thursday, a healthy snack bar, and great coffee to keep you fueled &lt;/li&gt;&lt;li&gt;Flexible spending accounts and 401(k)&lt;/li&gt;&lt;li&gt;Flexible Working: Our Responsible PTO policy means you can take the time off you need to rest and recharge. We're committed to a positive work-life balance and provide a flexible environment that allows you to be happy and fulfilled in both your career and your personal life.&lt;/li&gt;&lt;li&gt;Health and Wellness: Your well-being is a priority. Our mental health and wellness benefit includes up to 12 fully covered therapy/coaching sessions per year, with additional dependent coverage. We also offer a monthly gym reimbursement policy to support your physical health.&lt;/li&gt;&lt;li&gt;A Stake in Our Growth: We offer Restricted Stock Units (RSUs) as part of our total compensation, giving you a stake in the company's growth with a 3-year vesting schedule, pending Board approval.&lt;/li&gt;&lt;li&gt;Investing in Your Growth: We’re committed to your continuous learning. Take advantage of our free Coursera subscription and our PXA courses.&lt;/li&gt;&lt;li&gt;Parental Support: We offer a generous parental leave policy, 26 weeks of fully paid leave for the primary caregiver and 13 weeks fully paid leave for the secondary caregiver.&lt;/li&gt;&lt;li&gt;Technology Financial Support: We provide a technology stipend to help you set up your home office and a monthly allowance to cover your internet expenses. &lt;br&gt;&lt;br&gt;&lt;/li&gt;&lt;/ul&gt;impact.com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factors.&lt;br&gt;&lt;br&gt;&lt;br&gt;&lt;br&gt;</x:v>
      </x:c>
      <x:c r="AB32" s="68" t="str">
        <x:v>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x:v>
      </x:c>
      <x:c r="AC32" s="68" t="str">
        <x:v>Not Applicable</x:v>
      </x:c>
      <x:c r="AD32" s="68" t="str">
        <x:v>Full-time</x:v>
      </x:c>
      <x:c r="AE32" s="68" t="str">
        <x:v>Information Technology</x:v>
      </x:c>
      <x:c r="AF32" s="68" t="str">
        <x:v>Software Development</x:v>
      </x:c>
      <x:c r="AG32" s="68" t="str">
        <x:v>https://www.linkedin.com/jobs/search/?position=1&amp;pageNum=0&amp;keywords=AI+Engineer&amp;location=United+States&amp;distance=0&amp;f_TPR=r604800</x:v>
      </x:c>
      <x:c r="AH32" s="68" t="str">
        <x:v>{'type': 'PostalAddress', 'addressLocality': 'Santa Barbara', 'addressRegion': 'California', 'postalCode': '93101', 'addressCountry': 'US'}</x:v>
      </x:c>
      <x:c r="AI32" s="68" t="str">
        <x:v>https://impact.com/</x:v>
      </x:c>
      <x:c r="AJ32" s="68" t="str">
        <x:v>Our partnership management platform automates every type of business partnership, at scale.</x:v>
      </x:c>
      <x:c r="AK32" s="68" t="str">
        <x:v>impact.com, the world’s leading partnership management platform, is transforming the way businesses manage and optimize all types of partnerships—including traditional rewards affiliates, influencers, commerce content publishers, B2B, and more. The company’s powerful, purpose-built platform makes it easy for businesses to create, manage, and scale an ecosystem of partnerships with the brands and communities that customers trust to make purchases, get information, and entertain themselves at home, at work, or on the go. To learn more about how impact.com’s technology platform and partnerships marketplace is driving revenue growth for global enterprise brands such as Walmart, Uber, Shopify, Lenovo, L’Oreal and Fanatics, visit www.impact.com.</x:v>
      </x:c>
      <x:c r="AL32" s="68"/>
      <x:c r="AM32" s="68"/>
      <x:c r="AN32" s="68"/>
      <x:c r="AO32" s="68"/>
      <x:c r="AP32" s="68"/>
    </x:row>
    <x:row r="33" s="25" customFormat="1" ht="22" customHeight="1">
      <x:c r="A33" s="68" t="str">
        <x:v>4448703433</x:v>
      </x:c>
      <x:c r="B33" s="68" t="str">
        <x:v>Software Engineer</x:v>
      </x:c>
      <x:c r="C33" s="68" t="str">
        <x:v>Intuitive Research and Technology Corporation</x:v>
      </x:c>
      <x:c r="D33" s="68" t="str">
        <x:v>Huntsville, AL</x:v>
      </x:c>
      <x:c r="E33" s="68" t="str">
        <x:v>Applied</x:v>
      </x:c>
      <x:c r="F33" s="68"/>
      <x:c r="G33" s="69"/>
      <x:c r="H33" s="85" t="str">
        <x:v>2026-08-07</x:v>
      </x:c>
      <x:c r="I33" s="85"/>
      <x:c r="J33" s="68" t="str">
        <x:v>71</x:v>
      </x:c>
      <x:c r="K33" s="70"/>
      <x:c r="L33" s="86"/>
      <x:c r="M33" s="87"/>
      <x:c r="N33" s="71"/>
      <x:c r="O33" s="88"/>
      <x:c r="P33" s="89"/>
      <x:c r="Q33" s="89"/>
      <x:c r="R33" s="89"/>
      <x:c r="S33" s="73"/>
      <x:c r="T33" s="68"/>
      <x:c r="U33" s="68" t="str">
        <x:v>https://www.linkedin.com/jobs/view/software-engineer-at-intuitive-research-and-technology-corporation-4448703433?position=53&amp;pageNum=0&amp;refId=s48tP56EQnHdC6rkSZpaEg%3D%3D&amp;trackingId=1yhKd5VEvpnPyeKtN%2F5%2BQw%3D%3D</x:v>
      </x:c>
      <x:c r="V33" s="68" t="str">
        <x:v>1yhKd5VEvpnPyeKtN/5+Qw==</x:v>
      </x:c>
      <x:c r="W33" s="68" t="str">
        <x:v>s48tP56EQnHdC6rkSZpaEg==</x:v>
      </x:c>
      <x:c r="X33" s="68" t="str">
        <x:v>https://www.linkedin.com/company/intuitiveresearch?trk=public_jobs_jserp-result_job-search-card-subtitle</x:v>
      </x:c>
      <x:c r="Y33" s="68" t="str">
        <x:v>https://media.licdn.com/dms/image/v2/D4E0BAQHwuGIccw77RA/company-logo_100_100/B4EZc3n1lnGcAQ-/0/1748984879878/intuitiveresearch_logo?e=2147483647&amp;v=beta&amp;t=ZxRAMzLT4-zp6M4lcTo7BHeSeCusMSCOsDUSvzPGcAQ</x:v>
      </x:c>
      <x:c r="Z33" s="68"/>
      <x:c r="AA33" s="68" t="str">
        <x:v>&lt;em&gt;INTUITIVE® &lt;/em&gt;is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today!&lt;br&gt;&lt;br&gt;We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tasks.&lt;br&gt;&lt;br&gt;You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environment.&lt;br&gt;&lt;br&gt;&lt;strong&gt;Required&lt;br&gt;&lt;br&gt;&lt;/strong&gt;&lt;ul&gt;&lt;li&gt;BS Degree in Computer Science, Engineering, or a related technical field&lt;/li&gt;&lt;li&gt;3 years of related experience&lt;/li&gt;&lt;li&gt;Proficiency in Python&lt;/li&gt;&lt;li&gt;Experience building, deploying, and maintaining secure REST APIs&lt;/li&gt;&lt;li&gt;Experience with Docker and containerized application deployment&lt;/li&gt;&lt;li&gt;Experience building AI agents and advanced RAG pipelines, including tool integration, reasoning loops, and data retrieval across database types (e.g., SQL, vector, document, graph).&lt;/li&gt;&lt;li&gt;Familiarity with multi-agent architecture patterns&lt;/li&gt;&lt;li&gt;Must have the ability to obtain and maintain a security clearance&lt;br&gt;&lt;br&gt;&lt;br&gt;&lt;/li&gt;&lt;/ul&gt;&lt;strong&gt;Desired&lt;br&gt;&lt;br&gt;&lt;/strong&gt;&lt;ul&gt;&lt;li&gt;Experience working with LLMs across the full lifecycle, from integration and orchestration to fine-tuning, distillation, and prompt/system design&lt;/li&gt;&lt;li&gt;Experience deploying AI solutions in secure or regulated cloud environments (e.g., Azure GCC High, AWS GovCloud, or equivalent)&lt;/li&gt;&lt;li&gt;Experience designing human‑in‑the‑loop workflows that blend AI decision support with expert oversight.&lt;/li&gt;&lt;li&gt;Ability to translate stakeholder needs into technical requirements and produce clear engineering documentation for both technical and non‑technical audiences.&lt;/li&gt;&lt;li&gt;Familiarity with multi-agent architecture patterns&lt;/li&gt;&lt;li&gt;Experience with Model Context Protocol (MCP) or API workflows designed for AI tool-calling.&lt;br&gt;&lt;br&gt;&lt;br&gt;&lt;/li&gt;&lt;/ul&gt;&lt;strong&gt;Disability Accommodation for Applicants &lt;/strong&gt;-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&lt;em&gt;INTUITIVE&lt;/em&gt; hr@irtc-hq.com or 256-922-9300. Our process is to respond and to work with the requestor to identify a workable accommodation to the application process.</x:v>
      </x:c>
      <x:c r="AB33" s="68" t="str">
        <x:v>INTUITIVE® 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
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
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
Required
- BS Degree in Computer Science, Engineering, or a related technical field
- 3 years of related experience
- Proficiency in Python
- Experience building, deploying, and maintaining secure REST APIs
- Experience with Docker and containerized application deployment
- Experience building AI agents and advanced RAG pipelines, including tool integration, reasoning loops, and data retrieval across database types (e.g., SQL, vector, document, graph).
- Familiarity with multi-agent architecture patterns
- Must have the ability to obtain and maintain a security clearance
Desired
- Experience working with LLMs across the full lifecycle, from integration and orchestration to fine-tuning, distillation, and prompt/system design
- Experience deploying AI solutions in secure or regulated cloud environments (e.g., Azure GCC High, AWS GovCloud, or equivalent)
- Experience designing human‑in‑the‑loop workflows that blend AI decision support with expert oversight.
- Ability to translate stakeholder needs into technical requirements and produce clear engineering documentation for both technical and non‑technical audiences.
- Familiarity with multi-agent architecture patterns
- Experience with Model Context Protocol (MCP) or API workflows designed for AI tool-calling.
Disability Accommodation for Applicants -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INTUITIVE hr@irtc-hq.com or 256-922-9300. Our process is to respond and to work with the requestor to identify a workable accommodation to the application process.</x:v>
      </x:c>
      <x:c r="AC33" s="68" t="str">
        <x:v>Not Applicable</x:v>
      </x:c>
      <x:c r="AD33" s="68" t="str">
        <x:v>Full-time</x:v>
      </x:c>
      <x:c r="AE33" s="68" t="str">
        <x:v>Engineering and Information Technology</x:v>
      </x:c>
      <x:c r="AF33" s="68" t="str">
        <x:v>Defense and Space Manufacturing</x:v>
      </x:c>
      <x:c r="AG33" s="68" t="str">
        <x:v>https://www.linkedin.com/jobs/search/?position=1&amp;pageNum=0&amp;keywords=AI+Engineer&amp;location=United+States&amp;distance=0&amp;f_TPR=r604800</x:v>
      </x:c>
      <x:c r="AH33" s="68" t="str">
        <x:v>{'type': 'PostalAddress', 'streetAddress': '5030 Bradford Dr NW', 'addressLocality': 'Huntsville', 'addressRegion': 'AL', 'postalCode': '35805', 'addressCountry': 'US'}</x:v>
      </x:c>
      <x:c r="AI33" s="68" t="str">
        <x:v>http://www.irtc-hq.com</x:v>
      </x:c>
      <x:c r="AJ33" s="68" t="str">
        <x:v>Believe. Inspire. Deliver.</x:v>
      </x:c>
      <x:c r="AK33" s="68"/>
      <x:c r="AL33" s="68"/>
      <x:c r="AM33" s="68"/>
      <x:c r="AN33" s="68"/>
      <x:c r="AO33" s="68"/>
      <x:c r="AP33" s="68"/>
    </x:row>
    <x:row r="34" s="25" customFormat="1" ht="22" customHeight="1">
      <x:c r="A34" s="68" t="str">
        <x:v>4450304307</x:v>
      </x:c>
      <x:c r="B34" s="68" t="str">
        <x:v>Artificial Intelligence Engineer</x:v>
      </x:c>
      <x:c r="C34" s="68" t="str">
        <x:v>Xcede</x:v>
      </x:c>
      <x:c r="D34" s="68" t="str">
        <x:v>San Francisco Bay Area</x:v>
      </x:c>
      <x:c r="E34" s="68" t="str">
        <x:v>Applied</x:v>
      </x:c>
      <x:c r="F34" s="68"/>
      <x:c r="G34" s="69"/>
      <x:c r="H34" s="85" t="str">
        <x:v>2026-08-07</x:v>
      </x:c>
      <x:c r="I34" s="85"/>
      <x:c r="J34" s="68" t="str">
        <x:v>200</x:v>
      </x:c>
      <x:c r="K34" s="70" t="str">
        <x:v>$200,000.00/yr - $300,000.00/yr</x:v>
      </x:c>
      <x:c r="L34" s="86"/>
      <x:c r="M34" s="87"/>
      <x:c r="N34" s="71"/>
      <x:c r="O34" s="88"/>
      <x:c r="P34" s="89"/>
      <x:c r="Q34" s="89"/>
      <x:c r="R34" s="89"/>
      <x:c r="S34" s="73"/>
      <x:c r="T34" s="68"/>
      <x:c r="U34" s="68" t="str">
        <x:v>https://www.linkedin.com/jobs/view/artificial-intelligence-engineer-at-xcede-4450304307?position=55&amp;pageNum=0&amp;refId=s48tP56EQnHdC6rkSZpaEg%3D%3D&amp;trackingId=7Rq9YMATwPaBrmvjaKJN8w%3D%3D</x:v>
      </x:c>
      <x:c r="V34" s="68" t="str">
        <x:v>7Rq9YMATwPaBrmvjaKJN8w==</x:v>
      </x:c>
      <x:c r="W34" s="68" t="str">
        <x:v>s48tP56EQnHdC6rkSZpaEg==</x:v>
      </x:c>
      <x:c r="X34" s="68" t="str">
        <x:v>https://uk.linkedin.com/company/xcede?trk=public_jobs_jserp-result_job-search-card-subtitle</x:v>
      </x:c>
      <x:c r="Y34" s="68" t="str">
        <x:v>https://media.licdn.com/dms/image/v2/D4E0BAQG3KFUZwuh-Ag/company-logo_100_100/B4EZ88MS5WJkAI-/0/1783421284192/xcede_logo?e=2147483647&amp;v=beta&amp;t=7xj5ULcZWAVwCsOWKsmdMTkkMOfv-0nkPRwzKd5Wvl0</x:v>
      </x:c>
      <x:c r="Z34" s="68"/>
      <x:c r="AA34" s="68" t="str">
        <x:v>&lt;p&gt;A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x:v>
      </x:c>
      <x:c r="AB34" s="68" t="str">
        <x:v>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x:v>
      </x:c>
      <x:c r="AC34" s="68" t="str">
        <x:v>Mid-Senior level</x:v>
      </x:c>
      <x:c r="AD34" s="68" t="str">
        <x:v>Full-time</x:v>
      </x:c>
      <x:c r="AE34" s="68" t="str">
        <x:v>Engineering and Information Technology</x:v>
      </x:c>
      <x:c r="AF34" s="68" t="str">
        <x:v>Artificial Intelligence, Software Development, and IT System Custom Software Development</x:v>
      </x:c>
      <x:c r="AG34" s="68" t="str">
        <x:v>https://www.linkedin.com/jobs/search/?position=1&amp;pageNum=0&amp;keywords=AI+Engineer&amp;location=United+States&amp;distance=0&amp;f_TPR=r604800</x:v>
      </x:c>
      <x:c r="AH34" s="68" t="str">
        <x:v>{'type': 'PostalAddress', 'streetAddress': '24 Eversholt Street', 'addressLocality': 'London', 'addressRegion': 'England', 'postalCode': 'NW1 1AD', 'addressCountry': 'GB'}</x:v>
      </x:c>
      <x:c r="AI34" s="68" t="str">
        <x:v>https://www.xcede.com</x:v>
      </x:c>
      <x:c r="AJ34" s="68" t="str">
        <x:v>We source and select top talent across all technology sectors globally.</x:v>
      </x:c>
      <x:c r="AK34" s="68"/>
      <x:c r="AL34" s="68"/>
      <x:c r="AM34" s="68"/>
      <x:c r="AN34" s="68"/>
      <x:c r="AO34" s="68"/>
      <x:c r="AP34" s="68"/>
    </x:row>
    <x:row r="35" s="25" customFormat="1" ht="22" customHeight="1">
      <x:c r="A35" s="68" t="str">
        <x:v>4442197464</x:v>
      </x:c>
      <x:c r="B35" s="68" t="str">
        <x:v>Applied AI Engineer II</x:v>
      </x:c>
      <x:c r="C35" s="68" t="str">
        <x:v>Deloitte</x:v>
      </x:c>
      <x:c r="D35" s="68" t="str">
        <x:v>Nashville, TN</x:v>
      </x:c>
      <x:c r="E35" s="68" t="str">
        <x:v>Failed</x:v>
      </x:c>
      <x:c r="F35" s="68"/>
      <x:c r="G35" s="69"/>
      <x:c r="H35" s="85" t="str">
        <x:v>2026-08-08</x:v>
      </x:c>
      <x:c r="I35" s="85"/>
      <x:c r="J35" s="68" t="str">
        <x:v>30</x:v>
      </x:c>
      <x:c r="K35" s="70"/>
      <x:c r="L35" s="86"/>
      <x:c r="M35" s="87"/>
      <x:c r="N35" s="71"/>
      <x:c r="O35" s="88"/>
      <x:c r="P35" s="89"/>
      <x:c r="Q35" s="89"/>
      <x:c r="R35" s="89"/>
      <x:c r="S35" s="73"/>
      <x:c r="T35" s="68"/>
      <x:c r="U35" s="68" t="str">
        <x:v>https://www.linkedin.com/jobs/view/applied-ai-engineer-ii-at-deloitte-4442197464?position=54&amp;pageNum=0&amp;refId=s48tP56EQnHdC6rkSZpaEg%3D%3D&amp;trackingId=SHxglpu3Mk9g%2BR0%2FopJBxw%3D%3D</x:v>
      </x:c>
      <x:c r="V35" s="68" t="str">
        <x:v>SHxglpu3Mk9g+R0/opJBxw==</x:v>
      </x:c>
      <x:c r="W35" s="68" t="str">
        <x:v>s48tP56EQnHdC6rkSZpaEg==</x:v>
      </x:c>
      <x:c r="X35" s="68" t="str">
        <x:v>https://www.linkedin.com/company/deloitte?trk=public_jobs_jserp-result_job-search-card-subtitle</x:v>
      </x:c>
      <x:c r="Y35" s="68" t="str">
        <x:v>https://media.licdn.com/dms/image/v2/C560BAQGNtpblgQpJoQ/company-logo_100_100/company-logo_100_100/0/1662120928214/deloitte_logo?e=2147483647&amp;v=beta&amp;t=OSF8M5LreT0Sf2F-JcNk6XMT0ArCuPfDmRR-knCC4HY</x:v>
      </x:c>
      <x:c r="Z35" s="68"/>
      <x:c r="AA35" s="68" t="str">
        <x:v>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x:v>
      </x:c>
      <x:c r="AB35" s="68" t="str">
        <x:v>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x:v>
      </x:c>
      <x:c r="AC35" s="68" t="str">
        <x:v>Not Applicable</x:v>
      </x:c>
      <x:c r="AD35" s="68" t="str">
        <x:v>Full-time</x:v>
      </x:c>
      <x:c r="AE35" s="68" t="str">
        <x:v>Engineering and Information Technology</x:v>
      </x:c>
      <x:c r="AF35" s="68" t="str">
        <x:v>Accounting, IT Services and IT Consulting, and Business Consulting and Services</x:v>
      </x:c>
      <x:c r="AG35" s="68" t="str">
        <x:v>https://www.linkedin.com/jobs/search/?position=1&amp;pageNum=0&amp;keywords=AI+Engineer&amp;location=United+States&amp;distance=0&amp;f_TPR=r604800</x:v>
      </x:c>
      <x:c r="AH35" s="68" t="str">
        <x:v>{'type': 'PostalAddress', 'streetAddress': 'Worldwide', 'addressLocality': 'Worldwide', 'addressCountry': 'OO'}</x:v>
      </x:c>
      <x:c r="AI35" s="68" t="str">
        <x:v>http://www.deloitte.com/</x:v>
      </x:c>
      <x:c r="AJ35" s="68" t="str">
        <x:v>Together makes progress</x:v>
      </x:c>
      <x:c r="AK35" s="68"/>
      <x:c r="AL35" s="68"/>
      <x:c r="AM35" s="68"/>
      <x:c r="AN35" s="68"/>
      <x:c r="AO35" s="68"/>
      <x:c r="AP35" s="68"/>
    </x:row>
    <x:row r="36" s="25" customFormat="1" ht="22" customHeight="1">
      <x:c r="A36" s="68" t="str">
        <x:v>4442272440</x:v>
      </x:c>
      <x:c r="B36" s="68" t="str">
        <x:v>Agentic AI Engineer</x:v>
      </x:c>
      <x:c r="C36" s="68" t="str">
        <x:v>Cognizant</x:v>
      </x:c>
      <x:c r="D36" s="68" t="str">
        <x:v>Louisville, KY</x:v>
      </x:c>
      <x:c r="E36" s="68" t="str">
        <x:v>Applied</x:v>
      </x:c>
      <x:c r="F36" s="68"/>
      <x:c r="G36" s="69"/>
      <x:c r="H36" s="85" t="str">
        <x:v>2026-08-11</x:v>
      </x:c>
      <x:c r="I36" s="85"/>
      <x:c r="J36" s="68" t="str">
        <x:v>83</x:v>
      </x:c>
      <x:c r="K36" s="70"/>
      <x:c r="L36" s="86"/>
      <x:c r="M36" s="87"/>
      <x:c r="N36" s="71"/>
      <x:c r="O36" s="88"/>
      <x:c r="P36" s="89"/>
      <x:c r="Q36" s="89"/>
      <x:c r="R36" s="89"/>
      <x:c r="S36" s="73"/>
      <x:c r="T36" s="68"/>
      <x:c r="U36" s="68" t="str">
        <x:v>https://www.linkedin.com/jobs/view/agentic-ai-engineer-at-cognizant-4442272440?position=51&amp;pageNum=0&amp;refId=s48tP56EQnHdC6rkSZpaEg%3D%3D&amp;trackingId=6n0abMyAZdiUbbomR7%2B5hQ%3D%3D</x:v>
      </x:c>
      <x:c r="V36" s="68" t="str">
        <x:v>6n0abMyAZdiUbbomR7+5hQ==</x:v>
      </x:c>
      <x:c r="W36" s="68" t="str">
        <x:v>s48tP56EQnHdC6rkSZpaEg==</x:v>
      </x:c>
      <x:c r="X36" s="68" t="str">
        <x:v>https://www.linkedin.com/company/cognizant?trk=public_jobs_jserp-result_job-search-card-subtitle</x:v>
      </x:c>
      <x:c r="Y36" s="68" t="str">
        <x:v>https://media.licdn.com/dms/image/v2/D4E0BAQFZH4svu5BTZA/company-logo_100_100/B4EZk_EfNgHgAU-/0/1757699778309/cognizant_logo?e=2147483647&amp;v=beta&amp;t=pEIgD9-D_EFoL3rsreK0H2EZEcsXWdZSN64-dV7VrSU</x:v>
      </x:c>
      <x:c r="Z36" s="68"/>
      <x:c r="AA36" s="68" t="str">
        <x:v>&lt;strong&gt;About The Role&lt;br&gt;&lt;br&gt;&lt;/strong&gt;As an &lt;strong&gt;Agentic AI Engineer&lt;/strong&gt;,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solutions.&lt;br&gt;&lt;br&gt;&lt;ul&gt;&lt;li&gt;Candidate must be legally authorized to work in the United States without the need for employer sponsorship, now or at any time in the future**&lt;br&gt;&lt;br&gt;&lt;/li&gt;&lt;/ul&gt;&lt;strong&gt;In This Role, You Will&lt;br&gt;&lt;br&gt;&lt;/strong&gt;&lt;ul&gt;&lt;li&gt;Design and develop autonomous AI agents capable of reasoning, planning, and executing complex multi-step tasks using leading LLM technologies.&lt;/li&gt;&lt;li&gt;Build and orchestrate agentic workflows and multi-agent systems using LangGraph, enabling stateful execution, memory management, and agent collaboration.&lt;/li&gt;&lt;li&gt;Develop Retrieval-Augmented Generation (RAG), tool-calling, and function-calling solutions using LangChain and related frameworks.&lt;/li&gt;&lt;li&gt;Architect and integrate AI agents with enterprise systems, APIs, databases, and vector stores such as Pinecone, Chroma, Weaviate, and FAISS.&lt;/li&gt;&lt;li&gt;Implement memory frameworks including short-term, long-term, semantic, and episodic memory for intelligent agent behavior.&lt;/li&gt;&lt;li&gt;Design prompt engineering strategies and optimize LLM performance for accuracy, reliability, scalability, and cost efficiency.&lt;/li&gt;&lt;li&gt;Develop guardrails, validation layers, and human-in-the-loop workflows to ensure safe and reliable AI solutions.&lt;/li&gt;&lt;li&gt;Create and maintain evaluation frameworks to assess agent effectiveness, hallucination rates, and task completion metrics.&lt;/li&gt;&lt;li&gt;Deploy AI applications to production environments using AWS, Azure, or GCP, leveraging Docker, Kubernetes, and CI/CD pipelines.&lt;/li&gt;&lt;li&gt;Monitor, troubleshoot, and optimize production AI systems for performance, latency, scalability, and token utilization.&lt;/li&gt;&lt;li&gt;Collaborate with cross-functional teams to translate business requirements into innovative AI-powered solutions.&lt;/li&gt;&lt;li&gt;Stay current with emerging developments in agentic AI, LLMs, frameworks, and industry best practices.&lt;br&gt;&lt;br&gt;&lt;/li&gt;&lt;/ul&gt;Work Model&lt;br&gt;&lt;br&gt;This is an &lt;strong&gt;onsite position based in Louisville, Kentucky&lt;/strong&gt;, requiring attendance at the client or Cognizant office &lt;strong&gt;5 days per week&lt;/strong&gt;. Candidates should be comfortable working in a collaborative, office-based environment and partnering closely with cross-functional teams and stakeholders.&lt;br&gt;&lt;br&gt;The working arrangements for this role are accurate as of the date of posting. This may change based on the project you’re engaged in, as well as business and client requirements. Rest assured; we will always be clear about role expectations.&lt;br&gt;&lt;br&gt;What You Need to Have to Be Considered&lt;br&gt;&lt;br&gt;&lt;ul&gt;&lt;li&gt;8+ years of experience in software engineering, AI engineering, machine learning, or related technology roles.&lt;/li&gt;&lt;li&gt;Strong experience building solutions using Large Language Models (LLMs), Generative AI, and Agentic AI frameworks.&lt;/li&gt;&lt;li&gt;Hands-on expertise with LangChain and LangGraph for developing agentic workflows and multi-agent solutions.&lt;/li&gt;&lt;li&gt;Strong programming experience in Python and modern software development practices.&lt;/li&gt;&lt;li&gt;Experience designing and implementing Retrieval-Augmented Generation (RAG) architectures.&lt;/li&gt;&lt;li&gt;Experience integrating AI solutions with APIs, databases, enterprise applications, and vector databases.&lt;/li&gt;&lt;li&gt;Experience deploying applications in cloud environments such as AWS, Azure, or GCP.&lt;/li&gt;&lt;li&gt;Familiarity with Docker, Kubernetes, CI/CD pipelines, and production-grade application deployment.&lt;/li&gt;&lt;li&gt;Strong analytical, problem-solving, and collaboration skills.&lt;br&gt;&lt;br&gt;&lt;/li&gt;&lt;/ul&gt;These Will Help You Stand Out&lt;br&gt;&lt;br&gt;&lt;ul&gt;&lt;li&gt;Experience with multi-agent architectures and agent-to-agent communication frameworks.&lt;/li&gt;&lt;li&gt;Experience implementing memory management strategies for AI agents.&lt;/li&gt;&lt;li&gt;Knowledge of Responsible AI, AI governance, and AI safety best practices.&lt;/li&gt;&lt;li&gt;Experience evaluating and optimizing LLM outputs, token consumption, latency, and overall cost.&lt;/li&gt;&lt;li&gt;Familiarity with MLOps and AI application monitoring frameworks.&lt;/li&gt;&lt;li&gt;Experience working with open-source LLMs and emerging agentic AI technologies.&lt;br&gt;&lt;br&gt;&lt;/li&gt;&lt;/ul&gt;&lt;strong&gt;Salary And Other Compensation&lt;br&gt;&lt;br&gt;&lt;/strong&gt;The annual salary for this position is between depends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Plan&lt;br&gt;&lt;br&gt;&lt;/li&gt;&lt;/ul&gt;Disclaimer&lt;br&gt;&lt;br&gt;The salary, other compensation, and benefits information is accurate as of the date of this posting. Cognizant reserves the right to modify this information at any time, subject to applicable law.</x:v>
      </x:c>
      <x:c r="AB36" s="68" t="str">
        <x:v>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x:v>
      </x:c>
      <x:c r="AC36" s="68" t="str">
        <x:v>Not Applicable</x:v>
      </x:c>
      <x:c r="AD36" s="68" t="str">
        <x:v>Full-time</x:v>
      </x:c>
      <x:c r="AE36" s="68" t="str">
        <x:v>Engineering and Information Technology</x:v>
      </x:c>
      <x:c r="AF36" s="68" t="str">
        <x:v>IT Services and IT Consulting and Business Consulting and Services</x:v>
      </x:c>
      <x:c r="AG36" s="68" t="str">
        <x:v>https://www.linkedin.com/jobs/search/?position=1&amp;pageNum=0&amp;keywords=AI+Engineer&amp;location=United+States&amp;distance=0&amp;f_TPR=r604800</x:v>
      </x:c>
      <x:c r="AH36" s="68" t="str">
        <x:v>{'type': 'PostalAddress', 'streetAddress': '300 Frank W Burr Blvd', 'addressLocality': 'Teaneck', 'addressRegion': 'New Jersey', 'postalCode': '07666', 'addressCountry': 'US'}</x:v>
      </x:c>
      <x:c r="AI36" s="68" t="str">
        <x:v>https://www.cognizant.ai</x:v>
      </x:c>
      <x:c r="AJ36" s="68"/>
      <x:c r="AK36" s="68"/>
      <x:c r="AL36" s="68"/>
      <x:c r="AM36" s="68"/>
      <x:c r="AN36" s="68"/>
      <x:c r="AO36" s="68"/>
      <x:c r="AP36" s="68"/>
    </x:row>
    <x:row r="37" s="25" customFormat="1" ht="22" customHeight="1">
      <x:c r="A37" s="68" t="str">
        <x:v>4442195482</x:v>
      </x:c>
      <x:c r="B37" s="68" t="str">
        <x:v>Applied AI Engineer II</x:v>
      </x:c>
      <x:c r="C37" s="68" t="str">
        <x:v>Deloitte</x:v>
      </x:c>
      <x:c r="D37" s="68" t="str">
        <x:v>Hermitage, TN</x:v>
      </x:c>
      <x:c r="E37" s="68" t="str">
        <x:v>Applied</x:v>
      </x:c>
      <x:c r="F37" s="68"/>
      <x:c r="G37" s="69"/>
      <x:c r="H37" s="85" t="str">
        <x:v>2026-08-08</x:v>
      </x:c>
      <x:c r="I37" s="85"/>
      <x:c r="J37" s="68" t="str">
        <x:v>25</x:v>
      </x:c>
      <x:c r="K37" s="70"/>
      <x:c r="L37" s="86"/>
      <x:c r="M37" s="87"/>
      <x:c r="N37" s="71"/>
      <x:c r="O37" s="88"/>
      <x:c r="P37" s="89"/>
      <x:c r="Q37" s="89"/>
      <x:c r="R37" s="89"/>
      <x:c r="S37" s="73"/>
      <x:c r="T37" s="68"/>
      <x:c r="U37" s="68" t="str">
        <x:v>https://www.linkedin.com/jobs/view/applied-ai-engineer-ii-at-deloitte-4442195482?position=47&amp;pageNum=0&amp;refId=s48tP56EQnHdC6rkSZpaEg%3D%3D&amp;trackingId=p3EZs3NcXzesFP7E2cz0SA%3D%3D</x:v>
      </x:c>
      <x:c r="V37" s="68" t="str">
        <x:v>p3EZs3NcXzesFP7E2cz0SA==</x:v>
      </x:c>
      <x:c r="W37" s="68" t="str">
        <x:v>s48tP56EQnHdC6rkSZpaEg==</x:v>
      </x:c>
      <x:c r="X37" s="68" t="str">
        <x:v>https://www.linkedin.com/company/deloitte?trk=public_jobs_jserp-result_job-search-card-subtitle</x:v>
      </x:c>
      <x:c r="Y37" s="68" t="str">
        <x:v>https://media.licdn.com/dms/image/v2/C560BAQGNtpblgQpJoQ/company-logo_100_100/company-logo_100_100/0/1662120928214/deloitte_logo?e=2147483647&amp;v=beta&amp;t=OSF8M5LreT0Sf2F-JcNk6XMT0ArCuPfDmRR-knCC4HY</x:v>
      </x:c>
      <x:c r="Z37" s="68"/>
      <x:c r="AA37" s="68" t="str">
        <x:v>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x:v>
      </x:c>
      <x:c r="AB37" s="68" t="str">
        <x:v>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x:v>
      </x:c>
      <x:c r="AC37" s="68" t="str">
        <x:v>Not Applicable</x:v>
      </x:c>
      <x:c r="AD37" s="68" t="str">
        <x:v>Full-time</x:v>
      </x:c>
      <x:c r="AE37" s="68" t="str">
        <x:v>Engineering and Information Technology</x:v>
      </x:c>
      <x:c r="AF37" s="68" t="str">
        <x:v>Accounting, IT Services and IT Consulting, and Business Consulting and Services</x:v>
      </x:c>
      <x:c r="AG37" s="68" t="str">
        <x:v>https://www.linkedin.com/jobs/search/?position=1&amp;pageNum=0&amp;keywords=AI+Engineer&amp;location=United+States&amp;distance=0&amp;f_TPR=r604800</x:v>
      </x:c>
      <x:c r="AH37" s="68" t="str">
        <x:v>{'type': 'PostalAddress', 'streetAddress': 'Worldwide', 'addressLocality': 'Worldwide', 'addressCountry': 'OO'}</x:v>
      </x:c>
      <x:c r="AI37" s="68" t="str">
        <x:v>http://www.deloitte.com/</x:v>
      </x:c>
      <x:c r="AJ37" s="68" t="str">
        <x:v>Together makes progress</x:v>
      </x:c>
      <x:c r="AK37" s="68"/>
      <x:c r="AL37" s="68"/>
      <x:c r="AM37" s="68"/>
      <x:c r="AN37" s="68"/>
      <x:c r="AO37" s="68"/>
      <x:c r="AP37" s="68"/>
    </x:row>
    <x:row r="38" s="25" customFormat="1" ht="22" customHeight="1">
      <x:c r="A38" s="68" t="str">
        <x:v>4446103489</x:v>
      </x:c>
      <x:c r="B38" s="68" t="str">
        <x:v>AI Solutions Engineer</x:v>
      </x:c>
      <x:c r="C38" s="68" t="str">
        <x:v>Nakupuna Companies</x:v>
      </x:c>
      <x:c r="D38" s="68" t="str">
        <x:v>Honolulu, HI</x:v>
      </x:c>
      <x:c r="E38" s="68" t="str">
        <x:v>Requires CAPTCHA</x:v>
      </x:c>
      <x:c r="F38" s="68"/>
      <x:c r="G38" s="69"/>
      <x:c r="H38" s="85" t="str">
        <x:v>2026-08-06</x:v>
      </x:c>
      <x:c r="I38" s="85"/>
      <x:c r="J38" s="68" t="str">
        <x:v>51</x:v>
      </x:c>
      <x:c r="K38" s="70"/>
      <x:c r="L38" s="86"/>
      <x:c r="M38" s="87"/>
      <x:c r="N38" s="71"/>
      <x:c r="O38" s="88"/>
      <x:c r="P38" s="89"/>
      <x:c r="Q38" s="89"/>
      <x:c r="R38" s="89"/>
      <x:c r="S38" s="73"/>
      <x:c r="T38" s="68"/>
      <x:c r="U38" s="68" t="str">
        <x:v>https://www.linkedin.com/jobs/view/ai-solutions-engineer-at-nakupuna-companies-4446103489?position=50&amp;pageNum=0&amp;refId=s48tP56EQnHdC6rkSZpaEg%3D%3D&amp;trackingId=gv5OYgM0BT%2FOwyUHRbkocA%3D%3D</x:v>
      </x:c>
      <x:c r="V38" s="68" t="str">
        <x:v>gv5OYgM0BT/OwyUHRbkocA==</x:v>
      </x:c>
      <x:c r="W38" s="68" t="str">
        <x:v>s48tP56EQnHdC6rkSZpaEg==</x:v>
      </x:c>
      <x:c r="X38" s="68" t="str">
        <x:v>https://www.linkedin.com/company/nakupunacompanies?trk=public_jobs_jserp-result_job-search-card-subtitle</x:v>
      </x:c>
      <x:c r="Y38" s="68" t="str">
        <x:v>https://media.licdn.com/dms/image/v2/C4E0BAQFCOvPqOcikMA/company-logo_100_100/company-logo_100_100/0/1630610248246/na_alii_logo?e=2147483647&amp;v=beta&amp;t=1RcjwDBLZ-cXj5x8YlyprT_JfLttH_KNn9pxWKwRR6w</x:v>
      </x:c>
      <x:c r="Z38" s="68"/>
      <x:c r="AA38" s="68" t="str">
        <x:v>&lt;strong&gt;Overview&lt;br&gt;&lt;br&gt;&lt;/strong&gt;Nakupuna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objectives.&lt;br&gt;&lt;br&gt;&lt;strong&gt;Responsibilities&lt;br&gt;&lt;br&gt;&lt;/strong&gt;The following reflects management’s definition of essential functions for this job but does not restrict the tasks that may be assigned.&lt;br&gt;&lt;br&gt;Technical Responsibilities:&lt;br&gt;&lt;br&gt;&lt;ul&gt;&lt;li&gt; Collaborate with AI/ML scientists and architects to research, design, develop, and evaluate generative AI solutions addressing real-world challenges. &lt;/li&gt;&lt;li&gt; Engage directly with customers to understand their business problems and assist in the implementation of generative AI solutions. &lt;/li&gt;&lt;li&gt; Brief customers and guide them on adoption strategies and production deployment pathways. &lt;/li&gt;&lt;li&gt; Create and deliver best practice recommendations, tutorials, blog posts, sample code, and presentations tailored to technical, business, and executive audiences. &lt;/li&gt;&lt;li&gt; Provide customer and market feedback to product and engineering teams to influence product direction and roadmap. &lt;/li&gt;&lt;li&gt; Implement data pipelines, vectorization methods, and API integrations using Python. &lt;/li&gt;&lt;li&gt; Contribute to existing AI-enabled full-stack web projects built in Python and React. &lt;/li&gt;&lt;li&gt; Utilize AWS AI/ML services such as Amazon SageMaker, Bedrock, and Comprehend for model development, fine-tuning, and orchestration. &lt;/li&gt;&lt;li&gt; Manage structured and unstructured data using AWS storage and retrieval solutions like Amazon S3, OpenSearch, and Aurora. &lt;/li&gt;&lt;li&gt; Apply vector database technologies such as FAISS, Pinecone, or OpenSearch vector search for document retrieval and similarity search. &lt;/li&gt;&lt;li&gt; Integrate LLM APIs and apply prompt engineering techniques to connect retrieval systems with generative models. &lt;/li&gt;&lt;li&gt; Demonstrate basic DevOps and security awareness on AWS, including IAM roles, networking (VPCs), and data encryption practices. &lt;/li&gt;&lt;li&gt; Use containerization and orchestration tools such as Docker and AWS Lambda/ECS for scalable RAG (Retrieval-Augmented Generation) pipeline deployment. &lt;/li&gt;&lt;li&gt; Utilize AWS Lambda to run responses triggered by alerts from integrated services. &lt;/li&gt;&lt;li&gt; Support security and operations using AWS-native technologies, ensuring compliance with DoD security requirements. &lt;/li&gt;&lt;li&gt; Evaluate and propose new AWS technologies and modernization paths to enhance operational efficiency and security with AI solutions. &lt;/li&gt;&lt;li&gt; Develop and maintain Standard Operating Procedures (SOPs), technical documentation, and reports on system operations. &lt;/li&gt;&lt;li&gt; Adhere to Agile program best practices such as participation and management of team scrums and sprint plannings. &lt;/li&gt;&lt;li&gt; Document and track all work using the program approved ticketing system. &lt;br&gt;&lt;br&gt;&lt;/li&gt;&lt;/ul&gt;&lt;strong&gt;Qualifications&lt;br&gt;&lt;br&gt;&lt;/strong&gt;&lt;strong&gt; Skills/Qualifications: &lt;br&gt;&lt;br&gt;&lt;/strong&gt;&lt;ul&gt;&lt;li&gt; Strong technical expertise in AWS GovCloud and Microsoft Windows Server environments. &lt;/li&gt;&lt;li&gt; Excellent technical, organizational, decision-making, and analytical skills. &lt;/li&gt;&lt;li&gt; Strong Python experience including object-oriented development. &lt;/li&gt;&lt;li&gt; Experience with React or other frontend JavaScript web frameworks is a plus. &lt;/li&gt;&lt;li&gt; Strong communication skills with the ability to engage both technical staff and executive stakeholders. &lt;/li&gt;&lt;li&gt; Ability to enforce program best practices (ticketing, documentation, reporting). &lt;/li&gt;&lt;li&gt; Familiarity with DoD IT environments, compliance requirements, and cybersecurity standards. &lt;/li&gt;&lt;li&gt; Ability to adapt to a dynamic, fast-paced environment and support teams across geographically dispersed locations. &lt;br&gt;&lt;br&gt;&lt;/li&gt;&lt;/ul&gt;&lt;strong&gt; Education/Experience: &lt;br&gt;&lt;br&gt;&lt;/strong&gt;&lt;ul&gt;&lt;li&gt; Bachelor’s degree in a STEM field from an accredited institution, or equivalent years of related work or military experience. &lt;/li&gt;&lt;li&gt; Minimum of 3 years of relevant professional experience, including systems administration and cloud operations. &lt;/li&gt;&lt;li&gt; Experience supporting DoD IT environments preferred. &lt;/li&gt;&lt;li&gt; Experience using Agile methodologies and ticketing systems such as JIRA is desirable. &lt;br&gt;&lt;br&gt;&lt;/li&gt;&lt;/ul&gt;&lt;strong&gt; Required Certification(s): &lt;br&gt;&lt;br&gt;&lt;/strong&gt;Must have an active certification from the bullet list below&lt;br&gt;&lt;br&gt;&lt;ul&gt;&lt;li&gt; Active IAT II Certification which may include CompTIA Advanced Security Practitioner (CASP+), CompTIA Cybersecurity Analyst (CySA+), Certified Information Systems Security Professional (CISSP), or CompTIA Security+. &lt;/li&gt;&lt;li&gt; AWS certification (e.g., AWS Certified AI Practitioner, AWS Certified Cloud Practitioner, AWS SysOps Administrator Associate, AWS Solutions Architect Associate) &lt;br&gt;&lt;br&gt;&lt;/li&gt;&lt;/ul&gt;&lt;strong&gt;Clearance Requirements:&lt;/strong&gt; Must currently have at least a Secret level security clearance in Hawaii and TS/SCI in Arlington, Virginia. Must be a U.S. citizen.&lt;br&gt;&lt;br&gt;&lt;strong&gt; Work Location: &lt;br&gt;&lt;br&gt;&lt;/strong&gt;&lt;ul&gt;&lt;li&gt; Position may be based in either Arlington, VA or Honolulu, HI. &lt;/li&gt;&lt;li&gt; Preferred: on-site three (3) days per week. Will consider fewer days on-site for the correct candidate. &lt;/li&gt;&lt;li&gt; Occasional travel (1–2 weeks per year) within the Continental U.S. or to Hawaii may be required. &lt;/li&gt;&lt;li&gt; This position may require working outside of normal business hours, including evenings and weekends, to meet operational or project demands. &lt;br&gt;&lt;br&gt;&lt;/li&gt;&lt;/ul&gt;&lt;strong&gt;Physical Requirements:&lt;/strong&gt; The ideal candidate must at a minimum be able to meet the following physical requirements of the job with or without reasonable accommodation:&lt;br&gt;&lt;br&gt;&lt;ul&gt;&lt;li&gt; Ability to perform repetitive motions with the hands, wrists, and fingers. &lt;/li&gt;&lt;li&gt; Ability to engage in and follow audible communications in emergency situations. &lt;/li&gt;&lt;li&gt; Ability to sit for prolonged periods at a desk and working on a computer. &lt;br&gt;&lt;br&gt;&lt;/li&gt;&lt;/ul&gt;The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x:v>
      </x:c>
      <x:c r="AB38" s="68" t="str">
        <x:v>Overview
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
Responsibilities
The following reflects management’s definition of essential functions for this job but does not restrict the tasks that may be assigned.
Technical Responsibilities:
-  Collaborate with AI/ML scientists and architects to research, design, develop, and evaluate generative AI solutions addressing real-world challenges. 
-  Engage directly with customers to understand their business problems and assist in the implementation of generative AI solutions. 
-  Brief customers and guide them on adoption strategies and production deployment pathways. 
-  Create and deliver best practice recommendations, tutorials, blog posts, sample code, and presentations tailored to technical, business, and executive audiences. 
-  Provide customer and market feedback to product and engineering teams to influence product direction and roadmap. 
-  Implement data pipelines, vectorization methods, and API integrations using Python. 
-  Contribute to existing AI-enabled full-stack web projects built in Python and React. 
-  Utilize AWS AI/ML services such as Amazon SageMaker, Bedrock, and Comprehend for model development, fine-tuning, and orchestration. 
-  Manage structured and unstructured data using AWS storage and retrieval solutions like Amazon S3, OpenSearch, and Aurora. 
-  Apply vector database technologies such as FAISS, Pinecone, or OpenSearch vector search for document retrieval and similarity search. 
-  Integrate LLM APIs and apply prompt engineering techniques to connect retrieval systems with generative models. 
-  Demonstrate basic DevOps and security awareness on AWS, including IAM roles, networking (VPCs), and data encryption practices. 
-  Use containerization and orchestration tools such as Docker and AWS Lambda/ECS for scalable RAG (Retrieval-Augmented Generation) pipeline deployment. 
-  Utilize AWS Lambda to run responses triggered by alerts from integrated services. 
-  Support security and operations using AWS-native technologies, ensuring compliance with DoD security requirements. 
-  Evaluate and propose new AWS technologies and modernization paths to enhance operational efficiency and security with AI solutions. 
-  Develop and maintain Standard Operating Procedures (SOPs), technical documentation, and reports on system operations. 
-  Adhere to Agile program best practices such as participation and management of team scrums and sprint plannings. 
-  Document and track all work using the program approved ticketing system. 
Qualifications
 Skills/Qualifications: 
-  Strong technical expertise in AWS GovCloud and Microsoft Windows Server environments. 
-  Excellent technical, organizational, decision-making, and analytical skills. 
-  Strong Python experience including object-oriented development. 
-  Experience with React or other frontend JavaScript web frameworks is a plus. 
-  Strong communication skills with the ability to engage both technical staff and executive stakeholders. 
-  Ability to enforce program best practices (ticketing, documentation, reporting). 
-  Familiarity with DoD IT environments, compliance requirements, and cybersecurity standards. 
-  Ability to adapt to a dynamic, fast-paced environment and support teams across geographically dispersed locations. 
 Education/Experience: 
-  Bachelor’s degree in a STEM field from an accredited institution, or equivalent years of related work or military experience. 
-  Minimum of 3 years of relevant professional experience, including systems administration and cloud operations. 
-  Experience supporting DoD IT environments preferred. 
-  Experience using Agile methodologies and ticketing systems such as JIRA is desirable. 
 Required Certification(s): 
Must have an active certification from the bullet list below
-  Active IAT II Certification which may include CompTIA Advanced Security Practitioner (CASP+), CompTIA Cybersecurity Analyst (CySA+), Certified Information Systems Security Professional (CISSP), or CompTIA Security+. 
-  AWS certification (e.g., AWS Certified AI Practitioner, AWS Certified Cloud Practitioner, AWS SysOps Administrator Associate, AWS Solutions Architect Associate) 
Clearance Requirements: Must currently have at least a Secret level security clearance in Hawaii and TS/SCI in Arlington, Virginia. Must be a U.S. citizen.
 Work Location: 
-  Position may be based in either Arlington, VA or Honolulu, HI. 
-  Preferred: on-site three (3) days per week. Will consider fewer days on-site for the correct candidate. 
-  Occasional travel (1–2 weeks per year) within the Continental U.S. or to Hawaii may be required. 
-  This position may require working outside of normal business hours, including evenings and weekends, to meet operational or project demands. 
Physical Requirements: The ideal candidate must at a minimum be able to meet the following physical requirements of the job with or without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x:v>
      </x:c>
      <x:c r="AC38" s="68" t="str">
        <x:v>Not Applicable</x:v>
      </x:c>
      <x:c r="AD38" s="68" t="str">
        <x:v>Full-time</x:v>
      </x:c>
      <x:c r="AE38" s="68" t="str">
        <x:v>Engineering and Information Technology</x:v>
      </x:c>
      <x:c r="AF38" s="68" t="str">
        <x:v>Business Consulting and Services</x:v>
      </x:c>
      <x:c r="AG38" s="68" t="str">
        <x:v>https://www.linkedin.com/jobs/search/?position=1&amp;pageNum=0&amp;keywords=AI+Engineer&amp;location=United+States&amp;distance=0&amp;f_TPR=r604800</x:v>
      </x:c>
      <x:c r="AH38" s="68" t="str">
        <x:v>{'type': 'PostalAddress', 'streetAddress': '3375 Koapaka St.', 'addressLocality': 'Honolulu', 'addressRegion': 'HI', 'postalCode': '96819', 'addressCountry': 'US'}</x:v>
      </x:c>
      <x:c r="AI38" s="68" t="str">
        <x:v>https://nakupuna.com/careers/</x:v>
      </x:c>
      <x:c r="AJ38" s="68"/>
      <x:c r="AK38" s="68"/>
      <x:c r="AL38" s="68"/>
      <x:c r="AM38" s="68"/>
      <x:c r="AN38" s="68"/>
      <x:c r="AO38" s="68"/>
      <x:c r="AP38" s="68"/>
    </x:row>
    <x:row r="39" s="25" customFormat="1" ht="22" customHeight="1">
      <x:c r="A39" s="68" t="str">
        <x:v>4424100959</x:v>
      </x:c>
      <x:c r="B39" s="68" t="str">
        <x:v>AI Engineer</x:v>
      </x:c>
      <x:c r="C39" s="68" t="str">
        <x:v>Hotwire Communications Ltd</x:v>
      </x:c>
      <x:c r="D39" s="68" t="str">
        <x:v>Fort Lauderdale, FL</x:v>
      </x:c>
      <x:c r="E39" s="68" t="str">
        <x:v>Applied</x:v>
      </x:c>
      <x:c r="F39" s="68"/>
      <x:c r="G39" s="69"/>
      <x:c r="H39" s="85" t="str">
        <x:v>2026-08-05</x:v>
      </x:c>
      <x:c r="I39" s="85"/>
      <x:c r="J39" s="68" t="str">
        <x:v>200</x:v>
      </x:c>
      <x:c r="K39" s="70"/>
      <x:c r="L39" s="86"/>
      <x:c r="M39" s="87"/>
      <x:c r="N39" s="71"/>
      <x:c r="O39" s="88"/>
      <x:c r="P39" s="89"/>
      <x:c r="Q39" s="89"/>
      <x:c r="R39" s="89"/>
      <x:c r="S39" s="73"/>
      <x:c r="T39" s="68"/>
      <x:c r="U39" s="68" t="str">
        <x:v>https://www.linkedin.com/jobs/view/ai-engineer-at-hotwire-communications-ltd-4424100959?position=45&amp;pageNum=0&amp;refId=s48tP56EQnHdC6rkSZpaEg%3D%3D&amp;trackingId=S30ukuxf%2BpRvMef8Oesy0g%3D%3D</x:v>
      </x:c>
      <x:c r="V39" s="68" t="str">
        <x:v>S30ukuxf+pRvMef8Oesy0g==</x:v>
      </x:c>
      <x:c r="W39" s="68" t="str">
        <x:v>s48tP56EQnHdC6rkSZpaEg==</x:v>
      </x:c>
      <x:c r="X39" s="68" t="str">
        <x:v>https://www.linkedin.com/company/hotwire-communications-llc?trk=public_jobs_jserp-result_job-search-card-subtitle</x:v>
      </x:c>
      <x:c r="Y39" s="68" t="str">
        <x:v>https://media.licdn.com/dms/image/v2/D4E0BAQGFfzBUMIv6dA/company-logo_100_100/company-logo_100_100/0/1726767140442/hotwire_communications_llc_logo?e=2147483647&amp;v=beta&amp;t=p-UwdZnWr-yDpjUQz1AoDcqirRbYbS9ouwSx1MBUONo</x:v>
      </x:c>
      <x:c r="Z39" s="68"/>
      <x:c r="AA39" s="68" t="str">
        <x:v>As an &lt;strong&gt;AI Engineer&lt;/strong&gt;, you will be the technical engine behind every AI implementation the company runs, setting up the models, building the safety and reliability infrastructure, and establishing the engineering standards that every future AI project will inherit.&lt;br&gt;&lt;br&gt;This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solutions.&lt;br&gt;&lt;br&gt;&lt;strong&gt;Duties / Responsibilities: &lt;br&gt;&lt;br&gt;&lt;/strong&gt;&lt;ul&gt;&lt;li&gt;Design and build the core AI platform that connects Hotwire's business applications, data sources, and AI models into reliable, production-grade pipelines&lt;/li&gt;&lt;li&gt;Own the model deployment layer, configure, version, and maintain LLM endpoints across Azure OpenAI and/or AWS Bedrock with environment isolation (dev / staging / prod)&lt;/li&gt;&lt;li&gt;Implement a model abstraction layer (e.g., LiteLLM) to ensure portability across model providers and avoid hard vendor lock-in&lt;/li&gt;&lt;li&gt;Build and maintain an internal AI SDK / shared libraries so that future engineers and CoE projects can bootstrap quickly without reinventing plumbing&lt;/li&gt;&lt;li&gt;Own infrastructure-as-code and CI/CD pipelines for AI services Other duties as required or assigned. &lt;/li&gt;&lt;li&gt;Actively participate in Steering Committee reviews, translating technical risk and feasibility into language business leaders understand&lt;/li&gt;&lt;li&gt;Build and enforce input/output security controls for every AI-facing endpoint:&lt;/li&gt;&lt;li&gt;PII detection and redaction before data reaches external model APIs&lt;/li&gt;&lt;li&gt;Prompt injection detection, pattern-based and embedding-based classifiers&lt;/li&gt;&lt;li&gt;Content policy filtering and output moderation for customer-facing AI surfaces&lt;/li&gt;&lt;li&gt;Role-based access control to AI capabilities across business units&lt;/li&gt;&lt;li&gt;Partner with IT Security and Compliance to ensure every AI deployment meets Hotwire's data residency, encryption, and access audit requirements&lt;/li&gt;&lt;li&gt;Maintain a centralized secrets management approach for API keys, model credentials, and third-party integration tokens&lt;/li&gt;&lt;li&gt;Implement an LLM evaluation framework that every CoE project must pass before production promotion&lt;/li&gt;&lt;li&gt;LLM-as-judge pipelines for automated output quality scoring&lt;/li&gt;&lt;li&gt;Regression test suits that protect against model drift when providers update underlying models&lt;/li&gt;&lt;li&gt;Semantic similarity and coherence metrics for RAG-based applications&lt;/li&gt;&lt;li&gt;Golden dataset management and versioning for reproducible evals&lt;/li&gt;&lt;li&gt;Own the eval harness integration into CI/CD, no model change ships without passing eval thresholds&lt;/li&gt;&lt;li&gt;Track and report quality metrics to the Director and Steering Committee as part of the AI implementation lifecycle&lt;/li&gt;&lt;li&gt;Build operational safety infrastructure around AI services:&lt;/li&gt;&lt;li&gt;Rate limiting and token-budget enforcement per business unit and use case&lt;/li&gt;&lt;li&gt;Circuit breakers to prevent downstream cascades when model APIs degrade&lt;/li&gt;&lt;li&gt;Iteration caps and wall-clock timeouts on agentic workflows&lt;/li&gt;&lt;li&gt;Async queue management and retry logic for high-volume pipelines&lt;/li&gt;&lt;li&gt;Configure private endpoints and VNet integration for model APIs to keep data off public internet paths&lt;/li&gt;&lt;li&gt;Implement cost allocation and spend controls so that per-department AI usage is visible and accountable&lt;/li&gt;&lt;li&gt;Set up comprehensive tracing and monitoring across all AI services using tools such as LangSmith, LangFuse, or equivalent&lt;/li&gt;&lt;li&gt;Build dashboards that surface latency, error rates, token consumption, quality scores, and cost per workflow, visible to both engineering and business stakeholders&lt;/li&gt;&lt;li&gt;Establish alerting thresholds and on-call runbooks for AI service degradation&lt;/li&gt;&lt;li&gt;Maintain audit logs of all model inputs and outputs for compliance review&lt;/li&gt;&lt;li&gt;Serve as the technical reviewer for AI workflow proposals coming from business unit AI Champions before they reach the Steering Committee&lt;/li&gt;&lt;li&gt;Write engineering standards, integration patterns, and runbooks that AI Champions and future engineers can follow&lt;/li&gt;&lt;li&gt;Contribute to vendor evaluations, help assess new AI tooling, model releases, and platform options&lt;/li&gt;&lt;li&gt;Other duties as required or assigned by supervisor. &lt;br&gt;&lt;br&gt;&lt;/li&gt;&lt;/ul&gt;&lt;strong&gt;Minimum Qualifications: &lt;br&gt;&lt;br&gt;&lt;/strong&gt;To perform this job successfully, an individual must be able to perform each essential duty satisfactorily. The requirements listed below are representative of the knowledge, skill, and/or ability required.&lt;br&gt;&lt;br&gt;&lt;ul&gt;&lt;li&gt;2-4 years building and operating production LLM applications, not prototypes, not demos, production systems with real users and real SLAs&lt;/li&gt;&lt;li&gt;4 years of software engineering experience with a strong bias toward system design and production-grade architecture&lt;/li&gt;&lt;li&gt;Expert-level Python, you write clean, tested, maintainable Python, not just scripts&lt;/li&gt;&lt;li&gt;Deep understanding of API design, microservices patterns, async programming, and distributed system fundamentals&lt;/li&gt;&lt;li&gt;Hands-on experience with CI/CD pipelines, containerization (Docker), and cloud-native deployment&lt;/li&gt;&lt;li&gt;Strong debugging instincts, you can trace a failure from a user-facing symptom down to a model API edge case&lt;/li&gt;&lt;li&gt;Experience deploying and managing LLMs on enterprise cloud platforms: Azure OpenAI Service or AWS Bedrock&lt;br&gt;&lt;br&gt;&lt;/li&gt;&lt;/ul&gt;&lt;strong&gt;Benefits:&lt;br&gt;&lt;br&gt;&lt;/strong&gt;We truly appreciate and value all our employees and show our appreciation by offering a wide range of benefits, including:&lt;br&gt;&lt;br&gt;&lt;ul&gt;&lt;li&gt;Comprehensive Healthcare/Dental/Vision Plans&lt;/li&gt;&lt;li&gt;401K Retirement Plan with Company Match&lt;/li&gt;&lt;li&gt;Paid Vacation, Sick Time, and Additional Holidays (including your Birthday!)&lt;/li&gt;&lt;li&gt;Paid Volunteer Time&lt;/li&gt;&lt;li&gt;Paid Parental Leave&lt;/li&gt;&lt;li&gt;Hotwire Service Discounts – for employees who live on a property serviced by Hotwire. Discounted service offerings are provided for high-speed internet, video service, phone, and security service&lt;/li&gt;&lt;li&gt;Employee Referral Bonuses&lt;/li&gt;&lt;li&gt;Exclusive Entertainment Discounts/Perks&lt;br&gt;&lt;br&gt;&lt;/li&gt;&lt;/ul&gt;&lt;strong&gt;Hotwire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laws.&lt;br&gt;&lt;br&gt;&lt;/strong&gt;</x:v>
      </x:c>
      <x:c r="AB39" s="68" t="str">
        <x:v>As an AI Engineer, you will be the technical engine behind every AI implementation the company runs, setting up the models, building the safety and reliability infrastructure, and establishing the engineering standards that every future AI project will inherit.
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
Duties / Responsibilities: 
- Design and build the core AI platform that connects Hotwire's business applications, data sources, and AI models into reliable, production-grade pipelines
- Own the model deployment layer, configure, version, and maintain LLM endpoints across Azure OpenAI and/or AWS Bedrock with environment isolation (dev / staging / prod)
- Implement a model abstraction layer (e.g., LiteLLM) to ensure portability across model providers and avoid hard vendor lock-in
- Build and maintain an internal AI SDK / shared libraries so that future engineers and CoE projects can bootstrap quickly without reinventing plumbing
- Own infrastructure-as-code and CI/CD pipelines for AI services Other duties as required or assigned. 
- Actively participate in Steering Committee reviews, translating technical risk and feasibility into language business leaders understand
- Build and enforce input/output security controls for every AI-facing endpoint:
- PII detection and redaction before data reaches external model APIs
- Prompt injection detection, pattern-based and embedding-based classifiers
- Content policy filtering and output moderation for customer-facing AI surfaces
- Role-based access control to AI capabilities across business units
- Partner with IT Security and Compliance to ensure every AI deployment meets Hotwire's data residency, encryption, and access audit requirements
- Maintain a centralized secrets management approach for API keys, model credentials, and third-party integration tokens
- Implement an LLM evaluation framework that every CoE project must pass before production promotion
- LLM-as-judge pipelines for automated output quality scoring
- Regression test suits that protect against model drift when providers update underlying models
- Semantic similarity and coherence metrics for RAG-based applications
- Golden dataset management and versioning for reproducible evals
- Own the eval harness integration into CI/CD, no model change ships without passing eval thresholds
- Track and report quality metrics to the Director and Steering Committee as part of the AI implementation lifecycle
- Build operational safety infrastructure around AI services:
- Rate limiting and token-budget enforcement per business unit and use case
- Circuit breakers to prevent downstream cascades when model APIs degrade
- Iteration caps and wall-clock timeouts on agentic workflows
- Async queue management and retry logic for high-volume pipelines
- Configure private endpoints and VNet integration for model APIs to keep data off public internet paths
- Implement cost allocation and spend controls so that per-department AI usage is visible and accountable
- Set up comprehensive tracing and monitoring across all AI services using tools such as LangSmith, LangFuse, or equivalent
- Build dashboards that surface latency, error rates, token consumption, quality scores, and cost per workflow, visible to both engineering and business stakeholders
- Establish alerting thresholds and on-call runbooks for AI service degradation
- Maintain audit logs of all model inputs and outputs for compliance review
- Serve as the technical reviewer for AI workflow proposals coming from business unit AI Champions before they reach the Steering Committee
- Write engineering standards, integration patterns, and runbooks that AI Champions and future engineers can follow
- Contribute to vendor evaluations, help assess new AI tooling, model releases, and platform options
- Other duties as required or assigned by supervisor. 
Minimum Qualifications: 
To perform this job successfully, an individual must be able to perform each essential duty satisfactorily. The requirements listed below are representative of the knowledge, skill, and/or ability required.
- 2-4 years building and operating production LLM applications, not prototypes, not demos, production systems with real users and real SLAs
- 4 years of software engineering experience with a strong bias toward system design and production-grade architecture
- Expert-level Python, you write clean, tested, maintainable Python, not just scripts
- Deep understanding of API design, microservices patterns, async programming, and distributed system fundamentals
- Hands-on experience with CI/CD pipelines, containerization (Docker), and cloud-native deployment
- Strong debugging instincts, you can trace a failure from a user-facing symptom down to a model API edge case
- Experience deploying and managing LLMs on enterprise cloud platforms: Azure OpenAI Service or AWS Bedrock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
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x:v>
      </x:c>
      <x:c r="AC39" s="68" t="str">
        <x:v>Not Applicable</x:v>
      </x:c>
      <x:c r="AD39" s="68" t="str">
        <x:v>Full-time</x:v>
      </x:c>
      <x:c r="AE39" s="68" t="str">
        <x:v>Engineering and Information Technology</x:v>
      </x:c>
      <x:c r="AF39" s="68" t="str">
        <x:v>Telecommunications</x:v>
      </x:c>
      <x:c r="AG39" s="68" t="str">
        <x:v>https://www.linkedin.com/jobs/search/?position=1&amp;pageNum=0&amp;keywords=AI+Engineer&amp;location=United+States&amp;distance=0&amp;f_TPR=r604800</x:v>
      </x:c>
      <x:c r="AH39" s="68" t="str">
        <x:v>{'type': 'PostalAddress', 'streetAddress': '2100 W. Cypress Creek Road', 'addressLocality': 'Fort Lauderdale', 'addressRegion': 'FL', 'postalCode': '33309', 'addressCountry': 'US'}</x:v>
      </x:c>
      <x:c r="AI39" s="68" t="str">
        <x:v>http://hotwirecommunications.com</x:v>
      </x:c>
      <x:c r="AJ39" s="68"/>
      <x:c r="AK39" s="68"/>
      <x:c r="AL39" s="68"/>
      <x:c r="AM39" s="68"/>
      <x:c r="AN39" s="68"/>
      <x:c r="AO39" s="68"/>
      <x:c r="AP39" s="68"/>
    </x:row>
    <x:row r="40" s="25" customFormat="1" ht="22" customHeight="1">
      <x:c r="A40" s="68" t="str">
        <x:v>4449143728</x:v>
      </x:c>
      <x:c r="B40" s="68" t="str">
        <x:v>AI Engineer</x:v>
      </x:c>
      <x:c r="C40" s="68" t="str">
        <x:v>Corridor</x:v>
      </x:c>
      <x:c r="D40" s="68" t="str">
        <x:v>San Francisco Bay Area</x:v>
      </x:c>
      <x:c r="E40" s="68" t="str">
        <x:v>Applied</x:v>
      </x:c>
      <x:c r="F40" s="68"/>
      <x:c r="G40" s="69"/>
      <x:c r="H40" s="85" t="str">
        <x:v>2026-08-05</x:v>
      </x:c>
      <x:c r="I40" s="85"/>
      <x:c r="J40" s="68" t="str">
        <x:v>200</x:v>
      </x:c>
      <x:c r="K40" s="70" t="str">
        <x:v>$180,000.00/yr - $350,000.00/yr</x:v>
      </x:c>
      <x:c r="L40" s="86"/>
      <x:c r="M40" s="87"/>
      <x:c r="N40" s="71"/>
      <x:c r="O40" s="88"/>
      <x:c r="P40" s="89"/>
      <x:c r="Q40" s="89"/>
      <x:c r="R40" s="89"/>
      <x:c r="S40" s="73"/>
      <x:c r="T40" s="68"/>
      <x:c r="U40" s="68" t="str">
        <x:v>https://www.linkedin.com/jobs/view/ai-engineer-at-corridor-4449143728?position=48&amp;pageNum=0&amp;refId=s48tP56EQnHdC6rkSZpaEg%3D%3D&amp;trackingId=US4iYy9iI3YG2IWuprcljw%3D%3D</x:v>
      </x:c>
      <x:c r="V40" s="68" t="str">
        <x:v>US4iYy9iI3YG2IWuprcljw==</x:v>
      </x:c>
      <x:c r="W40" s="68" t="str">
        <x:v>s48tP56EQnHdC6rkSZpaEg==</x:v>
      </x:c>
      <x:c r="X40" s="68" t="str">
        <x:v>https://www.linkedin.com/company/corridorsecurity?trk=public_jobs_jserp-result_job-search-card-subtitle</x:v>
      </x:c>
      <x:c r="Y40" s="68" t="str">
        <x:v>https://media.licdn.com/dms/image/v2/D560BAQGMr5cGpkwTog/company-logo_100_100/B56ZsY1Y5vI0AQ-/0/1765648208555/corridorsecurity_logo?e=2147483647&amp;v=beta&amp;t=L81nPYiIWnf9YnWvBlUovVq4SWQJ5fzQJzAepeK-3MU</x:v>
      </x:c>
      <x:c r="Z40" s="68"/>
      <x:c r="AA40" s="68" t="str">
        <x:v>&lt;p&gt;&lt;strong&gt;About Corridor&lt;/strong&gt;&lt;/p&gt;&lt;p&gt;Software development is becoming autonomous. The fastest teams already work this way, and at Corridor, we are leading the way on secure development as the rest of the industry follows.&lt;/p&gt;&lt;p&gt;&lt;br&gt;&lt;/p&gt;&lt;p&gt;Security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ship.&lt;/p&gt;&lt;p&gt;&lt;br&gt;&lt;/p&gt;&lt;p&gt;We're a small, talented team, led by Jack Cable (Former CISA - Secure by Design), Ashwin Ramaswami (Former CISA, Stanford, and Schmidt Futures) and, Alex Stamos (Former CISO of Facebook, Yahoo, SentinelOne).&lt;/p&gt;&lt;p&gt;&lt;br&gt;&lt;/p&gt;&lt;p&gt;Corridor is backed by Conviction, with a $25M Series A led by Felicis and our customers include ElevenLabs, Lovable, Mercor, and Langchain.&lt;/p&gt;&lt;p&gt;&lt;br&gt;&lt;/p&gt;&lt;p&gt;&lt;strong&gt;What You’ll Do&lt;/strong&gt;&lt;/p&gt;&lt;ul&gt;&lt;li&gt;Build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security&lt;/li&gt;&lt;/ul&gt;&lt;p&gt;&lt;br&gt;&lt;/p&gt;&lt;p&gt;&lt;strong&gt;What We’re Looking For&lt;/strong&gt;&lt;/p&gt;&lt;ul&gt;&lt;li&gt;Strong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projects&lt;/li&gt;&lt;/ul&gt;&lt;p&gt;&lt;br&gt;&lt;/p&gt;&lt;p&gt;&lt;strong&gt;Nice to Have&lt;/strong&gt;&lt;/p&gt;&lt;ul&gt;&lt;li&gt;Experience with code generation and/or security&lt;/li&gt;&lt;li&gt;Prior research experience or publications in ML/AI or security venues&lt;/li&gt;&lt;li&gt;Open-source contributions or public technical writing (blogs, benchmarks, demos)&lt;/li&gt;&lt;/ul&gt;&lt;p&gt;&lt;br&gt;&lt;/p&gt;&lt;p&gt;&lt;strong&gt;About Us&lt;/strong&gt;&lt;/p&gt;&lt;ul&gt;&lt;li&gt;&lt;strong&gt;Co-founder and CEO Jack Cable&lt;/strong&gt; is a top-ranked bug bounty hunter who previously led Secure by Design at CISA.&lt;/li&gt;&lt;li&gt;&lt;strong&gt;Co-founder and CTO Ashwin Ramaswami&lt;/strong&gt; built large-scale systems at Skiff, Caldera, and Nooks, and published research on AI and open foundation models at Stanford.&lt;/li&gt;&lt;li&gt;&lt;strong&gt;CPO Alex Stamos&lt;/strong&gt; is the former CISO of Facebook, Yahoo, and SentinelOne and a current lecturer at Stanford University.&lt;/li&gt;&lt;/ul&gt;&lt;p&gt;&lt;br&gt;&lt;/p&gt;&lt;p&gt;&lt;strong&gt;Equal Opportunity&lt;/strong&gt;&lt;/p&gt;&lt;p&gt;Corridor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law.&lt;/p&gt;&lt;p&gt;&lt;br&gt;&lt;/p&gt;&lt;p&gt;We're looking for someone open to working in a hybrid environment c.3 days per week in our South Beach, San Francisco office.&lt;/p&gt;&lt;p&gt;&lt;br&gt;&lt;/p&gt;&lt;p&gt;Some of our angels and advisors include Russell Kaplan (Cognition), Thomas Wolf (Hugging Face), Jonathan Frankle (Databricks), and Mike Krieger (Anthropic).&lt;/p&gt;&lt;p&gt;Check out some of our existing blog posts on AI:&lt;/p&gt;&lt;ul&gt;&lt;li&gt;&lt;u&gt;The State of Secure Coding Benchmarks: BaxBench&lt;/u&gt;&lt;/li&gt;&lt;li&gt;&lt;u&gt;The State of Secure Coding Benchmarks: SecCodeBench&lt;/u&gt;&lt;/li&gt;&lt;/ul&gt;&lt;p&gt;&lt;br&gt;&lt;/p&gt;</x:v>
      </x:c>
      <x:c r="AB40" s="68" t="str">
        <x:v>
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Equal Opportunity
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
We're looking for someone open to working in a hybrid environment c.3 days per week in our South Beach, San Francisco office.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
</x:v>
      </x:c>
      <x:c r="AC40" s="68" t="str">
        <x:v>Mid-Senior level</x:v>
      </x:c>
      <x:c r="AD40" s="68" t="str">
        <x:v>Full-time</x:v>
      </x:c>
      <x:c r="AE40" s="68" t="str">
        <x:v>Engineering, Analyst, and Research</x:v>
      </x:c>
      <x:c r="AF40" s="68" t="str">
        <x:v>Computer and Network Security and Technology, Information and Media</x:v>
      </x:c>
      <x:c r="AG40" s="68" t="str">
        <x:v>https://www.linkedin.com/jobs/search/?position=1&amp;pageNum=0&amp;keywords=AI+Engineer&amp;location=United+States&amp;distance=0&amp;f_TPR=r604800</x:v>
      </x:c>
      <x:c r="AH40" s="68" t="str">
        <x:v>{'type': 'PostalAddress', 'addressLocality': 'San Francisco', 'addressRegion': 'California', 'addressCountry': 'US'}</x:v>
      </x:c>
      <x:c r="AI40" s="68" t="str">
        <x:v>https://corridor.dev/</x:v>
      </x:c>
      <x:c r="AJ40" s="68" t="str">
        <x:v>Secure AI Coding at the Source</x:v>
      </x:c>
      <x:c r="AK40" s="68"/>
      <x:c r="AL40" s="68"/>
      <x:c r="AM40" s="68"/>
      <x:c r="AN40" s="68"/>
      <x:c r="AO40" s="68"/>
      <x:c r="AP40" s="68"/>
    </x:row>
    <x:row r="41" s="25" customFormat="1" ht="22" customHeight="1">
      <x:c r="A41" s="68" t="str">
        <x:v>4449684054</x:v>
      </x:c>
      <x:c r="B41" s="68" t="str">
        <x:v>AI Engineer</x:v>
      </x:c>
      <x:c r="C41" s="68" t="str">
        <x:v>Adaptive Solutions Group</x:v>
      </x:c>
      <x:c r="D41" s="68" t="str">
        <x:v>Kansas City Metropolitan Area</x:v>
      </x:c>
      <x:c r="E41" s="68" t="str">
        <x:v>Applied</x:v>
      </x:c>
      <x:c r="F41" s="68"/>
      <x:c r="G41" s="69"/>
      <x:c r="H41" s="85" t="str">
        <x:v>2026-08-05</x:v>
      </x:c>
      <x:c r="I41" s="85"/>
      <x:c r="J41" s="68" t="str">
        <x:v>200</x:v>
      </x:c>
      <x:c r="K41" s="70"/>
      <x:c r="L41" s="86"/>
      <x:c r="M41" s="87"/>
      <x:c r="N41" s="71"/>
      <x:c r="O41" s="88"/>
      <x:c r="P41" s="89"/>
      <x:c r="Q41" s="89"/>
      <x:c r="R41" s="89"/>
      <x:c r="S41" s="73"/>
      <x:c r="T41" s="68"/>
      <x:c r="U41" s="68" t="str">
        <x:v>https://www.linkedin.com/jobs/view/ai-engineer-at-adaptive-solutions-group-4449684054?position=46&amp;pageNum=0&amp;refId=s48tP56EQnHdC6rkSZpaEg%3D%3D&amp;trackingId=W5Z26ml9EmN4erDit9KN7g%3D%3D</x:v>
      </x:c>
      <x:c r="V41" s="68" t="str">
        <x:v>W5Z26ml9EmN4erDit9KN7g==</x:v>
      </x:c>
      <x:c r="W41" s="68" t="str">
        <x:v>s48tP56EQnHdC6rkSZpaEg==</x:v>
      </x:c>
      <x:c r="X41" s="68" t="str">
        <x:v>https://www.linkedin.com/company/adaptive-solutions-group?trk=public_jobs_jserp-result_job-search-card-subtitle</x:v>
      </x:c>
      <x:c r="Y41" s="68" t="str">
        <x:v>https://media.licdn.com/dms/image/v2/C4E0BAQHGhaFheYsjkg/company-logo_100_100/company-logo_100_100/0/1630569825743/adaptive_solutions_group_logo?e=2147483647&amp;v=beta&amp;t=q6YwUR3ur4AqQg2HU4POf5-H79zE-UrHk_md4OGWnw4</x:v>
      </x:c>
      <x:c r="Z41" s="68"/>
      <x:c r="AA41" s="68" t="str">
        <x:v>&lt;p&gt;&lt;strong&gt;AI Engineer&lt;/strong&gt;&lt;/p&gt;&lt;p&gt;&lt;strong&gt;Position Overview&lt;/strong&gt;&lt;/p&gt;&lt;p&gt;We are seeking an &lt;strong&gt;AI Engineer&lt;/strong&gt; to design, develop, and deploy AI-powered applications and services. This role blends &lt;strong&gt;full stack development&lt;/strong&gt; with &lt;strong&gt;applied AI&lt;/strong&gt;, focusing on building scalable systems that integrate machine learning and large language models into real-world solutions.&lt;/p&gt;&lt;p&gt;&lt;strong&gt;Key Responsibilities&lt;/strong&gt;&lt;/p&gt;&lt;ul&gt;&lt;li&gt;Build and maintain &lt;strong&gt;full stack applications&lt;/strong&gt; with AI capabilities&lt;/li&gt;&lt;li&gt;Develop &lt;strong&gt;backend APIs and services&lt;/strong&gt; to support AI-driven features&lt;/li&gt;&lt;li&gt;Integrate &lt;strong&gt;LLMs, RAG pipelines, and AI workflows&lt;/strong&gt; into applications&lt;/li&gt;&lt;li&gt;Collaborate with cross-functional teams to deliver end-to-end solutions&lt;/li&gt;&lt;li&gt;Ensure performance, scalability, and reliability of AI systems&lt;/li&gt;&lt;li&gt;Implement monitoring, logging, and optimization for AI services&lt;/li&gt;&lt;/ul&gt;&lt;p&gt;&lt;strong&gt;Required Qualifications&lt;/strong&gt;&lt;/p&gt;&lt;ul&gt;&lt;li&gt;3+ years of software engineering experience&lt;/li&gt;&lt;li&gt;Experience with &lt;strong&gt;full stack development&lt;/strong&gt; (frontend and backend)&lt;/li&gt;&lt;li&gt;Hands-on experience with &lt;strong&gt;AI/ML or LLM integrations&lt;/strong&gt;&lt;/li&gt;&lt;li&gt;Experience building &lt;strong&gt;APIs and cloud-based applications&lt;/strong&gt;&lt;/li&gt;&lt;li&gt;Strong understanding of databases and data modeling&lt;/li&gt;&lt;/ul&gt;&lt;p&gt;&lt;strong&gt;Preferred Qualifications&lt;/strong&gt;&lt;/p&gt;&lt;ul&gt;&lt;li&gt;Experience with &lt;strong&gt;RAG, vector databases, or agent-based systems&lt;/strong&gt;&lt;/li&gt;&lt;li&gt;Familiarity with &lt;strong&gt;React, Node.js, or .NET&lt;/strong&gt;&lt;/li&gt;&lt;li&gt;Experience with &lt;strong&gt;cloud platforms&lt;/strong&gt; (Azure, AWS, or GCP)&lt;/li&gt;&lt;li&gt;Exposure to modern AI tooling and frameworks&lt;/li&gt;&lt;/ul&gt;&lt;p&gt;&lt;br&gt;&lt;/p&gt;</x:v>
      </x:c>
      <x:c r="AB41" s="68" t="str">
        <x:v>
AI Engineer
Position Overview
We are seeking an AI Engineer to design, develop, and deploy AI-powered applications and services. This role blends full stack development with applied AI, focusing on building scalable systems that integrate machine learning and large language models into real-world solutions.
Key Responsibilities
- Build and maintain full stack applications with AI capabilities
- Develop backend APIs and services to support AI-driven features
- Integrate LLMs, RAG pipelines, and AI workflows into applications
- Collaborate with cross-functional teams to deliver end-to-end solutions
- Ensure performance, scalability, and reliability of AI systems
- Implement monitoring, logging, and optimization for AI services
Required Qualifications
- 3+ years of software engineering experience
- Experience with full stack development (frontend and backend)
- Hands-on experience with AI/ML or LLM integrations
- Experience building APIs and cloud-based applications
- Strong understanding of databases and data modeling
Preferred Qualifications
- Experience with RAG, vector databases, or agent-based systems
- Familiarity with React, Node.js, or .NET
- Experience with cloud platforms (Azure, AWS, or GCP)
- Exposure to modern AI tooling and frameworks
</x:v>
      </x:c>
      <x:c r="AC41" s="68" t="str">
        <x:v>Mid-Senior level</x:v>
      </x:c>
      <x:c r="AD41" s="68" t="str">
        <x:v>Contract</x:v>
      </x:c>
      <x:c r="AE41" s="68" t="str">
        <x:v>Information Technology</x:v>
      </x:c>
      <x:c r="AF41" s="68" t="str">
        <x:v>Staffing and Recruiting</x:v>
      </x:c>
      <x:c r="AG41" s="68" t="str">
        <x:v>https://www.linkedin.com/jobs/search/?position=1&amp;pageNum=0&amp;keywords=AI+Engineer&amp;location=United+States&amp;distance=0&amp;f_TPR=r604800</x:v>
      </x:c>
      <x:c r="AH41" s="68" t="str">
        <x:v>{'type': 'PostalAddress', 'streetAddress': '725 Old Ballas Rd', 'addressLocality': 'St Louis', 'addressRegion': 'Missouri', 'postalCode': '63141', 'addressCountry': 'US'}</x:v>
      </x:c>
      <x:c r="AI41" s="68" t="str">
        <x:v>http://www.adaptivesg.com</x:v>
      </x:c>
      <x:c r="AJ41" s="68" t="str">
        <x:v>Empowering growth through tailored staffing solutions</x:v>
      </x:c>
      <x:c r="AK41" s="68"/>
      <x:c r="AL41" s="68"/>
      <x:c r="AM41" s="68"/>
      <x:c r="AN41" s="68"/>
      <x:c r="AO41" s="68"/>
      <x:c r="AP41" s="68"/>
    </x:row>
    <x:row r="42" s="25" customFormat="1" ht="22" customHeight="1">
      <x:c r="A42" s="68" t="str">
        <x:v>4443529192</x:v>
      </x:c>
      <x:c r="B42" s="68" t="str">
        <x:v>AI Engineer</x:v>
      </x:c>
      <x:c r="C42" s="68" t="str">
        <x:v>Kaleidoscope Innovation</x:v>
      </x:c>
      <x:c r="D42" s="68" t="str">
        <x:v>Cincinnati, OH</x:v>
      </x:c>
      <x:c r="E42" s="68" t="str">
        <x:v>Failed</x:v>
      </x:c>
      <x:c r="F42" s="68"/>
      <x:c r="G42" s="69"/>
      <x:c r="H42" s="85" t="str">
        <x:v>2026-08-11</x:v>
      </x:c>
      <x:c r="I42" s="85"/>
      <x:c r="J42" s="68" t="str">
        <x:v>200</x:v>
      </x:c>
      <x:c r="K42" s="70" t="str">
        <x:v>$100,000.00/yr - $140,000.00/yr</x:v>
      </x:c>
      <x:c r="L42" s="86"/>
      <x:c r="M42" s="87"/>
      <x:c r="N42" s="71"/>
      <x:c r="O42" s="88"/>
      <x:c r="P42" s="89"/>
      <x:c r="Q42" s="89"/>
      <x:c r="R42" s="89"/>
      <x:c r="S42" s="73"/>
      <x:c r="T42" s="68"/>
      <x:c r="U42" s="68" t="str">
        <x:v>https://www.linkedin.com/jobs/view/ai-engineer-at-kaleidoscope-innovation-4443529192?position=44&amp;pageNum=0&amp;refId=s48tP56EQnHdC6rkSZpaEg%3D%3D&amp;trackingId=6%2B8Fl9EzcZyYowxWwG62qA%3D%3D</x:v>
      </x:c>
      <x:c r="V42" s="68" t="str">
        <x:v>6+8Fl9EzcZyYowxWwG62qA==</x:v>
      </x:c>
      <x:c r="W42" s="68" t="str">
        <x:v>s48tP56EQnHdC6rkSZpaEg==</x:v>
      </x:c>
      <x:c r="X42" s="68" t="str">
        <x:v>https://www.linkedin.com/company/kaleidoscope?trk=public_jobs_jserp-result_job-search-card-subtitle</x:v>
      </x:c>
      <x:c r="Y42" s="68" t="str">
        <x:v>https://media.licdn.com/dms/image/v2/C560BAQGpfpSr6vloGw/company-logo_100_100/company-logo_100_100/0/1677781419636/kaleidoscope_logo?e=2147483647&amp;v=beta&amp;t=hFQw_wwd2Pf6B-KKzXaFeXGhYMF04e6nYLklv9ku1CU</x:v>
      </x:c>
      <x:c r="Z42" s="68"/>
      <x:c r="AA42" s="68" t="str">
        <x:v>&lt;strong&gt;We are unable to sponsor or take over sponsorship of an employment visa at this time. &lt;br&gt;&lt;br&gt;&lt;/strong&gt;&lt;strong&gt;Project Overview&lt;br&gt;&lt;br&gt;&lt;/strong&gt;Benefits Explainability Agent for coverage and benefits inquiries. Initial channel: Web. Future integration with IVR/contact center systems.&lt;br&gt;&lt;br&gt;&lt;strong&gt;Key Skills&lt;br&gt;&lt;br&gt;&lt;/strong&gt;AI Agent Development using Python&lt;br&gt;&lt;br&gt;Azure AI Services or AWS&lt;br&gt;&lt;br&gt;Generative AI / LLM Solutions&lt;br&gt;&lt;br&gt;REST APIs &amp;amp; Integrations&lt;br&gt;&lt;br&gt;Contact Center / IVR Integrations&lt;br&gt;&lt;br&gt;Customer-facing Technical Leadership&lt;br&gt;&lt;br&gt;Solution Architecture&lt;br&gt;&lt;br&gt;Healthcare domain preferred&lt;br&gt;&lt;br&gt;&lt;strong&gt;Kaleidoscope,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disability.&lt;/strong&gt;</x:v>
      </x:c>
      <x:c r="AB42" s="68" t="str">
        <x:v>We are unable to sponsor or take over sponsorship of an employment visa at this time. 
Project Overview
Benefits Explainability Agent for coverage and benefits inquiries. Initial channel: Web. Future integration with IVR/contact center systems.
Key Skills
AI Agent Development using Python
Azure AI Services or AWS
Generative AI / LLM Solutions
REST APIs &amp;amp; Integrations
Contact Center / IVR Integrations
Customer-facing Technical Leadership
Solution Architecture
Healthcare domain preferred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x:v>
      </x:c>
      <x:c r="AC42" s="68" t="str">
        <x:v>Not Applicable</x:v>
      </x:c>
      <x:c r="AD42" s="68" t="str">
        <x:v>Full-time</x:v>
      </x:c>
      <x:c r="AE42" s="68" t="str">
        <x:v>Engineering and Information Technology</x:v>
      </x:c>
      <x:c r="AF42" s="68" t="str">
        <x:v>Design Services</x:v>
      </x:c>
      <x:c r="AG42" s="68" t="str">
        <x:v>https://www.linkedin.com/jobs/search/?position=1&amp;pageNum=0&amp;keywords=AI+Engineer&amp;location=United+States&amp;distance=0&amp;f_TPR=r604800</x:v>
      </x:c>
      <x:c r="AH42" s="68" t="str">
        <x:v>{'type': 'PostalAddress', 'streetAddress': '4362 Creek Rd', 'addressLocality': 'Cincinnati', 'addressRegion': 'Ohio', 'postalCode': '45241', 'addressCountry': 'US'}</x:v>
      </x:c>
      <x:c r="AI42" s="68" t="str">
        <x:v>http://kascope.com</x:v>
      </x:c>
      <x:c r="AJ42" s="68" t="str">
        <x:v>Full product development firm bringing our clients’ ideas to next-level success | an Infosys Company</x:v>
      </x:c>
      <x:c r="AK42" s="68"/>
      <x:c r="AL42" s="68"/>
      <x:c r="AM42" s="68"/>
      <x:c r="AN42" s="68"/>
      <x:c r="AO42" s="68"/>
      <x:c r="AP42" s="68"/>
    </x:row>
    <x:row r="43" s="25" customFormat="1" ht="22" customHeight="1">
      <x:c r="A43" s="68" t="str">
        <x:v>4397334112</x:v>
      </x:c>
      <x:c r="B43" s="68" t="str">
        <x:v>AI Engineer</x:v>
      </x:c>
      <x:c r="C43" s="68" t="str">
        <x:v>Brooklyn Sports &amp; Entertainment</x:v>
      </x:c>
      <x:c r="D43" s="68" t="str">
        <x:v>Brooklyn, NY</x:v>
      </x:c>
      <x:c r="E43" s="68" t="str">
        <x:v>Applied</x:v>
      </x:c>
      <x:c r="F43" s="68"/>
      <x:c r="G43" s="69"/>
      <x:c r="H43" s="85" t="str">
        <x:v>2026-08-07</x:v>
      </x:c>
      <x:c r="I43" s="85"/>
      <x:c r="J43" s="68" t="str">
        <x:v>200</x:v>
      </x:c>
      <x:c r="K43" s="70"/>
      <x:c r="L43" s="86"/>
      <x:c r="M43" s="87"/>
      <x:c r="N43" s="71"/>
      <x:c r="O43" s="88"/>
      <x:c r="P43" s="89"/>
      <x:c r="Q43" s="89"/>
      <x:c r="R43" s="89"/>
      <x:c r="S43" s="73"/>
      <x:c r="T43" s="68"/>
      <x:c r="U43" s="68" t="str">
        <x:v>https://www.linkedin.com/jobs/view/ai-engineer-at-brooklyn-sports-entertainment-4397334112?position=42&amp;pageNum=0&amp;refId=s48tP56EQnHdC6rkSZpaEg%3D%3D&amp;trackingId=ON4mAqh8p0AhuNvntHG0YA%3D%3D</x:v>
      </x:c>
      <x:c r="V43" s="68" t="str">
        <x:v>ON4mAqh8p0AhuNvntHG0YA==</x:v>
      </x:c>
      <x:c r="W43" s="68" t="str">
        <x:v>s48tP56EQnHdC6rkSZpaEg==</x:v>
      </x:c>
      <x:c r="X43" s="68" t="str">
        <x:v>https://www.linkedin.com/company/bkse?trk=public_jobs_jserp-result_job-search-card-subtitle</x:v>
      </x:c>
      <x:c r="Y43" s="68" t="str">
        <x:v>https://media.licdn.com/dms/image/v2/D4E0BAQHzPxFAygJsbw/company-logo_100_100/B4EZuvjNJUJIAQ-/0/1768176800698/bkse_logo?e=2147483647&amp;v=beta&amp;t=E5PfrtVpGxuvmxaRrdNF1jjMzpQAdJfrX8s7iceo1Ho</x:v>
      </x:c>
      <x:c r="Z43" s="68"/>
      <x:c r="AA43" s="68" t="str">
        <x:v>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engagement.&lt;br&gt;&lt;br&gt;As it expands its existing portfolio, Brooklyn Sports &amp;amp; Entertainment now includes a media portfolio including BK Mag, as well as Brooklyn Wine Club, and a hospitality business developing several location-based entertainment properties.&lt;br&gt;&lt;br&gt;Whether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care.&lt;br&gt;&lt;br&gt;&lt;strong&gt;We Are Guided By Our Core Values&lt;br&gt;&lt;br&gt;&lt;/strong&gt;&lt;ul&gt;&lt;li&gt;Integrity: Be intellectually honest at all times. Demonstrate the highest professional and ethical standards.&lt;/li&gt;&lt;li&gt;Care: Care for everything and everyone around us. Practice empathy, respect, and inclusion to promote an environment of excellence and success.&lt;/li&gt;&lt;li&gt;Growth Mindset: Develop ourselves and those around us. Experiment, learn, and improve from everything we do.&lt;/li&gt;&lt;li&gt;Accountability: Deliver on our word, take responsibility for our actions, and work in the interest of our team.&lt;br&gt;&lt;br&gt;&lt;/li&gt;&lt;/ul&gt;&lt;strong&gt;Summary&lt;br&gt;&lt;br&gt;&lt;/strong&gt;The AI Engineer builds agent-based systems and intelligent workflows that power Brooklyn Sports &amp;amp; Entertainment’s AI platform. This role focuses on developing &lt;strong&gt;agentic applications that automate business workflows across ticketing, venue operations, partnerships, HR, and internal development processes&lt;/strong&gt;.&lt;br&gt;&lt;br&gt;Working primarily within an &lt;strong&gt;AWS and Amazon Bedrock environment&lt;/strong&gt;, the AI Engineer builds agent workflows using frameworks such as &lt;strong&gt;LangGraph&lt;/strong&gt; and contributes to the organization’s internal &lt;strong&gt;CodeAI platform&lt;/strong&gt; for AI-assisted development.&lt;br&gt;&lt;br&gt;The team operates with &lt;strong&gt;shared responsibility for building and operating AI systems in production&lt;/strong&gt;. Engineers participate in development, deployment, monitoring, and incident response while maintaining deeper expertise in their focus areas.&lt;br&gt;&lt;br&gt;This role reports into the VP, Artificial Intelligence.&lt;br&gt;&lt;br&gt;&lt;strong&gt;What You Will Do&lt;br&gt;&lt;br&gt;&lt;/strong&gt;Agent Development for Business Workflows &lt;br&gt;&lt;br&gt;&lt;ul&gt;&lt;li&gt;Design and build agent-based workflows that automate internal processes across departments such as ticketing, partnerships, HR, digital products, and venue operations. Examples of workflows include but are not limited to:&lt;/li&gt;&lt;ul&gt;&lt;li&gt;A Ticketing Meeting Preparation Agent that gathers relevant sales insights, CRM data, and historical context to help ticketing teams prepare for client meetings.&lt;/li&gt;&lt;li&gt;Early prototypes of a Generalized "AI Coworker" agent capable of assisting teams across departments with research, reporting, and operational tasks.&lt;/li&gt;&lt;/ul&gt;&lt;li&gt;Develop agent orchestration patterns using LangGraph and Amazon Bedrock.&lt;/li&gt;&lt;li&gt;Build integrations with systems such as Salesforce, internal APIs, analytics dashboards, and operational data platforms.&lt;/li&gt;&lt;li&gt;Implement reliable tool-calling patterns that allow agents to safely execute operational tasks.&lt;br&gt;&lt;/li&gt;&lt;/ul&gt;CodeAI Development Agents&lt;br&gt;&lt;br&gt;&lt;ul&gt;&lt;li&gt;Build CodeAI agents that support engineering workflows including code generation, test creation, documentation, debugging, and pull request analysis.&lt;/li&gt;&lt;li&gt;Work with AI-assisted developer tools including, Codex, Cursor, Claude Code, Claude Code agents.&lt;/li&gt;&lt;li&gt;Contribute to internal AI-assisted development pipelines and guardrails for “vibe coding.”&lt;br&gt;&lt;br&gt;&lt;/li&gt;&lt;/ul&gt;Shared Production Ownership&lt;br&gt;&lt;br&gt;&lt;ul&gt;&lt;li&gt;Participate in deployment, monitoring, and incident response for AI systems.&lt;/li&gt;&lt;li&gt;Improve agent reliability through evaluation pipelines, observability metrics, and tool-call success monitoring.&lt;/li&gt;&lt;li&gt;Collaborate with the LLMOps Engineer to ensure workflows meet operational reliability standards.&lt;br&gt;&lt;br&gt;&lt;/li&gt;&lt;/ul&gt;&lt;strong&gt;What You Will Bring&lt;br&gt;&lt;br&gt;&lt;/strong&gt;&lt;ul&gt;&lt;li&gt;2–5 years of software engineering experience building production systems.&lt;/li&gt;&lt;li&gt;Strong programming experience with Python or TypeScript.&lt;/li&gt;&lt;li&gt;Familiarity with AWS cloud services and API-driven applications.&lt;/li&gt;&lt;li&gt;Experience working with LLM APIs or AI frameworks.&lt;/li&gt;&lt;li&gt;Exposure to agent frameworks such as LangGraph or similar orchestration tools.&lt;/li&gt;&lt;li&gt;Familiarity with Amazon Bedrock or other LLM platforms.&lt;/li&gt;&lt;li&gt;Experience using AI-assisted development tools such as Codex, Cursor, or Claude Code.&lt;br&gt;&lt;br&gt;&lt;/li&gt;&lt;/ul&gt;&lt;strong&gt;Who You Are&lt;br&gt;&lt;br&gt;&lt;/strong&gt;&lt;ul&gt;&lt;li&gt;You enjoy turning complex workflows into reliable automation.&lt;/li&gt;&lt;li&gt;You are curious about emerging AI technologies and continuously experiment with new tools and frameworks.&lt;/li&gt;&lt;li&gt;You demonstrate a strong growth mindset and actively learn as the AI ecosystem evolves.&lt;/li&gt;&lt;li&gt;You thrive in fast-moving environments where experimentation and iteration are encouraged.&lt;/li&gt;&lt;li&gt;You take ownership of the systems you build and are comfortable supporting them in production.&lt;br&gt;&lt;br&gt;&lt;/li&gt;&lt;/ul&gt;&lt;strong&gt;Compensation&lt;br&gt;&lt;br&gt;&lt;/strong&gt;$125,000 - $150,000 per year&lt;br&gt;&lt;br&gt;Full-time employees are eligible for a robust slate of total rewards, including:&lt;br&gt;&lt;br&gt;&lt;ul&gt;&lt;li&gt;Bonus eligibility&lt;/li&gt;&lt;li&gt;Medical, dental, and vision coverage; HSA and FSA eligibility&lt;/li&gt;&lt;li&gt;401k Employer Match at 4%&lt;/li&gt;&lt;li&gt;Competitive PTO policy &amp;amp; Company Holidays&lt;/li&gt;&lt;li&gt;Parental leave policy eligible after 6 months of service&lt;/li&gt;&lt;li&gt;Access to events at Barclays Center, subject to ticket availability&lt;/li&gt;&lt;li&gt;Free lunch onsite Monday - Thursday; onsite barista bar&lt;/li&gt;&lt;li&gt;And more!&lt;br&gt;&lt;br&gt;&lt;/li&gt;&lt;/ul&gt;&lt;strong&gt;WORK ENVIRONMENT&lt;br&gt;&lt;br&gt;&lt;/strong&gt;Works primarily in an office environment and may be expected to contribute additional hours to support system implementations.&lt;br&gt;&lt;br&gt;&lt;em&gt;We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laws.&lt;/em&gt;</x:v>
      </x:c>
      <x:c r="AB43" s="68" t="str">
        <x:v>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
As it expands its existing portfolio, Brooklyn Sports &amp;amp; Entertainment now includes a media portfolio including BK Mag, as well as Brooklyn Wine Club, and a hospitality business developing several location-based entertainment properties.
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
We Are Guided By Our Core Values
- Integrity: Be intellectually honest at all times. Demonstrate the highest professional and ethical standards.
- Care: Care for everything and everyone around us. Practice empathy, respect, and inclusion to promote an environment of excellence and success.
- Growth Mindset: Develop ourselves and those around us. Experiment, learn, and improve from everything we do.
- Accountability: Deliver on our word, take responsibility for our actions, and work in the interest of our team.
Summary
The AI Engineer builds agent-based systems and intelligent workflows that power Brooklyn Sports &amp;amp; Entertainment’s AI platform. This role focuses on developing agentic applications that automate business workflows across ticketing, venue operations, partnerships, HR, and internal development processes.
Working primarily within an AWS and Amazon Bedrock environment, the AI Engineer builds agent workflows using frameworks such as LangGraph and contributes to the organization’s internal CodeAI platform for AI-assisted development.
The team operates with shared responsibility for building and operating AI systems in production. Engineers participate in development, deployment, monitoring, and incident response while maintaining deeper expertise in their focus areas.
This role reports into the VP, Artificial Intelligence.
What You Will Do
Agent Development for Business Workflows 
- Design and build agent-based workflows that automate internal processes across departments such as ticketing, partnerships, HR, digital products, and venue operations. Examples of workflows include but are not limited to:
- A Ticketing Meeting Preparation Agent that gathers relevant sales insights, CRM data, and historical context to help ticketing teams prepare for client meetings.
- Early prototypes of a Generalized "AI Coworker" agent capable of assisting teams across departments with research, reporting, and operational tasks.
- Develop agent orchestration patterns using LangGraph and Amazon Bedrock.
- Build integrations with systems such as Salesforce, internal APIs, analytics dashboards, and operational data platforms.
- Implement reliable tool-calling patterns that allow agents to safely execute operational tasks.
CodeAI Development Agents
- Build CodeAI agents that support engineering workflows including code generation, test creation, documentation, debugging, and pull request analysis.
- Work with AI-assisted developer tools including, Codex, Cursor, Claude Code, Claude Code agents.
- Contribute to internal AI-assisted development pipelines and guardrails for “vibe coding.”
Shared Production Ownership
- Participate in deployment, monitoring, and incident response for AI systems.
- Improve agent reliability through evaluation pipelines, observability metrics, and tool-call success monitoring.
- Collaborate with the LLMOps Engineer to ensure workflows meet operational reliability standards.
What You Will Bring
- 2–5 years of software engineering experience building production systems.
- Strong programming experience with Python or TypeScript.
- Familiarity with AWS cloud services and API-driven applications.
- Experience working with LLM APIs or AI frameworks.
- Exposure to agent frameworks such as LangGraph or similar orchestration tools.
- Familiarity with Amazon Bedrock or other LLM platforms.
- Experience using AI-assisted development tools such as Codex, Cursor, or Claude Code.
Who You Are
- You enjoy turning complex workflows into reliable automation.
- You are curious about emerging AI technologies and continuously experiment with new tools and frameworks.
- You demonstrate a strong growth mindset and actively learn as the AI ecosystem evolves.
- You thrive in fast-moving environments where experimentation and iteration are encouraged.
- You take ownership of the systems you build and are comfortable supporting them in production.
Compensation
$125,000 - $150,000 per year
Full-time employees are eligible for a robust slate of total rewards, including:
- Bonus eligibility
- Medical, dental, and vision coverage; HSA and FSA eligibility
- 401k Employer Match at 4%
- Competitive PTO policy &amp;amp; Company Holidays
- Parental leave policy eligible after 6 months of service
- Access to events at Barclays Center, subject to ticket availability
- Free lunch onsite Monday - Thursday; onsite barista bar
- And more!
WORK ENVIRONMENT
Works primarily in an office environment and may be expected to contribute additional hours to support system implementations.
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x:v>
      </x:c>
      <x:c r="AC43" s="68" t="str">
        <x:v>Not Applicable</x:v>
      </x:c>
      <x:c r="AD43" s="68" t="str">
        <x:v>Full-time</x:v>
      </x:c>
      <x:c r="AE43" s="68" t="str">
        <x:v>Engineering and Information Technology</x:v>
      </x:c>
      <x:c r="AF43" s="68" t="str">
        <x:v>Spectator Sports and Entertainment Providers</x:v>
      </x:c>
      <x:c r="AG43" s="68" t="str">
        <x:v>https://www.linkedin.com/jobs/search/?position=1&amp;pageNum=0&amp;keywords=AI+Engineer&amp;location=United+States&amp;distance=0&amp;f_TPR=r604800</x:v>
      </x:c>
      <x:c r="AH43" s="68" t="str">
        <x:v>{'type': 'PostalAddress', 'streetAddress': '168 39th St', 'addressLocality': 'Brooklyn', 'addressRegion': 'New York', 'addressCountry': 'US'}</x:v>
      </x:c>
      <x:c r="AI43" s="68" t="str">
        <x:v>https://bkse.com/</x:v>
      </x:c>
      <x:c r="AJ43" s="68" t="str">
        <x:v>We create bold, authentic, and unforgettable experiences that redefine sports, entertainment, and hospitality.</x:v>
      </x:c>
      <x:c r="AK43" s="68"/>
      <x:c r="AL43" s="68"/>
      <x:c r="AM43" s="68"/>
      <x:c r="AN43" s="68"/>
      <x:c r="AO43" s="68"/>
      <x:c r="AP43" s="68"/>
    </x:row>
    <x:row r="44" s="25" customFormat="1" ht="22" customHeight="1">
      <x:c r="A44" s="68" t="str">
        <x:v>4441371896</x:v>
      </x:c>
      <x:c r="B44" s="68" t="str">
        <x:v>Machine Learning Engineer</x:v>
      </x:c>
      <x:c r="C44" s="68" t="str">
        <x:v>Fluidstack</x:v>
      </x:c>
      <x:c r="D44" s="68" t="str">
        <x:v>Seattle, WA</x:v>
      </x:c>
      <x:c r="E44" s="68" t="str">
        <x:v>Applied</x:v>
      </x:c>
      <x:c r="F44" s="68"/>
      <x:c r="G44" s="69"/>
      <x:c r="H44" s="85" t="str">
        <x:v>2026-08-08</x:v>
      </x:c>
      <x:c r="I44" s="85"/>
      <x:c r="J44" s="68" t="str">
        <x:v>200</x:v>
      </x:c>
      <x:c r="K44" s="70" t="str">
        <x:v>$224,000.00/yr - $279,000.00/yr</x:v>
      </x:c>
      <x:c r="L44" s="86"/>
      <x:c r="M44" s="87"/>
      <x:c r="N44" s="71"/>
      <x:c r="O44" s="88"/>
      <x:c r="P44" s="89"/>
      <x:c r="Q44" s="89"/>
      <x:c r="R44" s="89"/>
      <x:c r="S44" s="73"/>
      <x:c r="T44" s="68"/>
      <x:c r="U44" s="68" t="str">
        <x:v>https://www.linkedin.com/jobs/view/machine-learning-engineer-at-fluidstack-4441371896?position=43&amp;pageNum=0&amp;refId=s48tP56EQnHdC6rkSZpaEg%3D%3D&amp;trackingId=xa3u%2FIZGMNR61LMeyu73UQ%3D%3D</x:v>
      </x:c>
      <x:c r="V44" s="68" t="str">
        <x:v>xa3u/IZGMNR61LMeyu73UQ==</x:v>
      </x:c>
      <x:c r="W44" s="68" t="str">
        <x:v>s48tP56EQnHdC6rkSZpaEg==</x:v>
      </x:c>
      <x:c r="X44" s="68" t="str">
        <x:v>https://www.linkedin.com/company/fluidstack?trk=public_jobs_jserp-result_job-search-card-subtitle</x:v>
      </x:c>
      <x:c r="Y44" s="68" t="str">
        <x:v>https://media.licdn.com/dms/image/v2/D4D0BAQEDTPaf9dRQoQ/company-logo_100_100/B4DZolbNTTG8AQ-/0/1761564481055/fluidstack_logo?e=2147483647&amp;v=beta&amp;t=RNoHld59k_hG6q67qI5eSmnNfjaMqzMR9Wp3DjfBJQg</x:v>
      </x:c>
      <x:c r="Z44" s="68"/>
      <x:c r="AA44" s="68" t="str">
        <x:v>&lt;strong&gt;About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x:v>
      </x:c>
      <x:c r="AB44" s="68" t="str">
        <x:v>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x:v>
      </x:c>
      <x:c r="AC44" s="68" t="str">
        <x:v>Not Applicable</x:v>
      </x:c>
      <x:c r="AD44" s="68" t="str">
        <x:v>Full-time</x:v>
      </x:c>
      <x:c r="AE44" s="68" t="str">
        <x:v>Engineering and Information Technology</x:v>
      </x:c>
      <x:c r="AF44" s="68" t="str">
        <x:v>Technology, Information and Internet</x:v>
      </x:c>
      <x:c r="AG44" s="68" t="str">
        <x:v>https://www.linkedin.com/jobs/search/?position=1&amp;pageNum=0&amp;keywords=AI+Engineer&amp;location=United+States&amp;distance=0&amp;f_TPR=r604800</x:v>
      </x:c>
      <x:c r="AH44" s="68" t="str">
        <x:v>{'type': 'PostalAddress', 'addressLocality': 'New York', 'addressRegion': 'NY', 'addressCountry': 'US'}</x:v>
      </x:c>
      <x:c r="AI44" s="68" t="str">
        <x:v>fluidstack.com</x:v>
      </x:c>
      <x:c r="AJ44" s="68" t="str">
        <x:v>Infrastructure for Abundant Intelligence</x:v>
      </x:c>
      <x:c r="AK44" s="68"/>
      <x:c r="AL44" s="68"/>
      <x:c r="AM44" s="68"/>
      <x:c r="AN44" s="68"/>
      <x:c r="AO44" s="68"/>
      <x:c r="AP44" s="68"/>
    </x:row>
    <x:row r="45" s="25" customFormat="1" ht="22" customHeight="1">
      <x:c r="A45" s="68" t="str">
        <x:v>4448944198</x:v>
      </x:c>
      <x:c r="B45" s="68" t="str">
        <x:v>AI Engineer</x:v>
      </x:c>
      <x:c r="C45" s="68" t="str">
        <x:v>HP</x:v>
      </x:c>
      <x:c r="D45" s="68" t="str">
        <x:v>Palo Alto, CA</x:v>
      </x:c>
      <x:c r="E45" s="68" t="str">
        <x:v>Applied</x:v>
      </x:c>
      <x:c r="F45" s="68"/>
      <x:c r="G45" s="69"/>
      <x:c r="H45" s="85" t="str">
        <x:v>2026-08-05</x:v>
      </x:c>
      <x:c r="I45" s="85"/>
      <x:c r="J45" s="68" t="str">
        <x:v>200</x:v>
      </x:c>
      <x:c r="K45" s="70"/>
      <x:c r="L45" s="86"/>
      <x:c r="M45" s="87"/>
      <x:c r="N45" s="71"/>
      <x:c r="O45" s="88"/>
      <x:c r="P45" s="89"/>
      <x:c r="Q45" s="89"/>
      <x:c r="R45" s="89"/>
      <x:c r="S45" s="73"/>
      <x:c r="T45" s="68"/>
      <x:c r="U45" s="68" t="str">
        <x:v>https://www.linkedin.com/jobs/view/ai-engineer-at-hp-4448944198?position=41&amp;pageNum=0&amp;refId=s48tP56EQnHdC6rkSZpaEg%3D%3D&amp;trackingId=T3GBBUXJ%2Ft2Zv1OBoQMTTQ%3D%3D</x:v>
      </x:c>
      <x:c r="V45" s="68" t="str">
        <x:v>T3GBBUXJ/t2Zv1OBoQMTTQ==</x:v>
      </x:c>
      <x:c r="W45" s="68" t="str">
        <x:v>s48tP56EQnHdC6rkSZpaEg==</x:v>
      </x:c>
      <x:c r="X45" s="68" t="str">
        <x:v>https://www.linkedin.com/company/hp?trk=public_jobs_jserp-result_job-search-card-subtitle</x:v>
      </x:c>
      <x:c r="Y45" s="68" t="str">
        <x:v>https://media.licdn.com/dms/image/v2/D560BAQEJUaQAv2kVcQ/company-logo_100_100/B56ZViAo6QHoAQ-/0/1741106089999/hp_logo?e=2147483647&amp;v=beta&amp;t=CkdW_qlJsnivIFSCyd5feJoXKhIdCpFl9I1hK55yfQU</x:v>
      </x:c>
      <x:c r="Z45" s="68"/>
      <x:c r="AA45" s="68" t="str">
        <x:v>&lt;strong&gt;Description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x:v>
      </x:c>
      <x:c r="AB45" s="68" t="str">
        <x:v>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x:v>
      </x:c>
      <x:c r="AC45" s="68" t="str">
        <x:v>Mid-Senior level</x:v>
      </x:c>
      <x:c r="AD45" s="68" t="str">
        <x:v>Full-time</x:v>
      </x:c>
      <x:c r="AE45" s="68" t="str">
        <x:v>Information Technology</x:v>
      </x:c>
      <x:c r="AF45" s="68" t="str">
        <x:v>IT Services and IT Consulting</x:v>
      </x:c>
      <x:c r="AG45" s="68" t="str">
        <x:v>https://www.linkedin.com/jobs/search/?position=1&amp;pageNum=0&amp;keywords=AI+Engineer&amp;location=United+States&amp;distance=0&amp;f_TPR=r604800</x:v>
      </x:c>
      <x:c r="AH45" s="68" t="str">
        <x:v>{'type': 'PostalAddress', 'streetAddress': '1501 Page Mill Road', 'addressLocality': 'Palo Alto', 'addressRegion': 'CA', 'postalCode': '94304', 'addressCountry': 'US'}</x:v>
      </x:c>
      <x:c r="AI45" s="68" t="str">
        <x:v>http://www.hp.com</x:v>
      </x:c>
      <x:c r="AJ45" s="68"/>
      <x:c r="AK45" s="68"/>
      <x:c r="AL45" s="68"/>
      <x:c r="AM45" s="68"/>
      <x:c r="AN45" s="68"/>
      <x:c r="AO45" s="68"/>
      <x:c r="AP45" s="68"/>
    </x:row>
    <x:row r="46" s="25" customFormat="1" ht="22" customHeight="1">
      <x:c r="A46" s="68" t="str">
        <x:v>4405728805</x:v>
      </x:c>
      <x:c r="B46" s="68" t="str">
        <x:v>AI Software Engineer</x:v>
      </x:c>
      <x:c r="C46" s="68" t="str">
        <x:v>ChenMed</x:v>
      </x:c>
      <x:c r="D46" s="68" t="str">
        <x:v>Miami, FL</x:v>
      </x:c>
      <x:c r="E46" s="68" t="str">
        <x:v>Applied</x:v>
      </x:c>
      <x:c r="F46" s="68"/>
      <x:c r="G46" s="69"/>
      <x:c r="H46" s="85" t="str">
        <x:v>2026-08-10</x:v>
      </x:c>
      <x:c r="I46" s="85"/>
      <x:c r="J46" s="68" t="str">
        <x:v>200</x:v>
      </x:c>
      <x:c r="K46" s="70"/>
      <x:c r="L46" s="86"/>
      <x:c r="M46" s="87"/>
      <x:c r="N46" s="71"/>
      <x:c r="O46" s="88"/>
      <x:c r="P46" s="89"/>
      <x:c r="Q46" s="89"/>
      <x:c r="R46" s="89"/>
      <x:c r="S46" s="73"/>
      <x:c r="T46" s="68"/>
      <x:c r="U46" s="68" t="str">
        <x:v>https://www.linkedin.com/jobs/view/ai-software-engineer-at-chenmed-4405728805?position=40&amp;pageNum=0&amp;refId=s48tP56EQnHdC6rkSZpaEg%3D%3D&amp;trackingId=kPBj6jqkc0f3DRhWEe2KSg%3D%3D</x:v>
      </x:c>
      <x:c r="V46" s="68" t="str">
        <x:v>kPBj6jqkc0f3DRhWEe2KSg==</x:v>
      </x:c>
      <x:c r="W46" s="68" t="str">
        <x:v>s48tP56EQnHdC6rkSZpaEg==</x:v>
      </x:c>
      <x:c r="X46" s="68" t="str">
        <x:v>https://www.linkedin.com/company/chenmed?trk=public_jobs_jserp-result_job-search-card-subtitle</x:v>
      </x:c>
      <x:c r="Y46" s="68" t="str">
        <x:v>https://media.licdn.com/dms/image/v2/C560BAQFPRGfyRX0s_Q/company-logo_100_100/company-logo_100_100/0/1631329932879?e=2147483647&amp;v=beta&amp;t=fFJ2OrwkNCBBod0iBpf96Ktu0jmoB76q7vRZ_jWAb4I</x:v>
      </x:c>
      <x:c r="Z46" s="68"/>
      <x:c r="AA46" s="68" t="str">
        <x:v>&lt;strong&gt;We’re unique. You should be, too.&lt;br&gt;&lt;br&gt;&lt;/strong&gt;We’re changing lives every day. For both our patients and our team members. Are you innovative and entrepreneurial minded? Is your work ethic and ambition off the charts? Do you inspire others with your kindness and joy?&lt;br&gt;&lt;br&gt;We’re different than most primary care providers. We’re rapidly expanding and we need great people to join our team.&lt;br&gt;&lt;br&gt;This AI development team role at ChenMed is focused on building AI Agent and Autonomous solutions that enhance our care delivery model. We operate like an internal startup — driven by our mission to transform senior care and deliver more good days for our patients.&lt;br&gt;&lt;br&gt;You'll work alongside seasoned ChenMed team members and fresh talent, bringing disruptive thinking to a collaborative, high-growth environment where zero-to-one ideas become production reality.&lt;br&gt;&lt;br&gt;We're looking for a Full Stack Software Engineer who thrives in ambiguity, works autonomously, and executes with purpose and speed.&lt;br&gt;&lt;br&gt;&lt;strong&gt;Essential Job Duties/Responsibilities&lt;br&gt;&lt;br&gt;&lt;/strong&gt;&lt;ul&gt;&lt;li&gt;Experience in building and deploying AI application backends using FastAPI (Python) or Node.js/Express (TypeScript), containerization with Docker, and cloud deployment on platforms such as AWS, Azure, or GCP.&lt;/li&gt;&lt;li&gt;Experience using Retrieval-Augmented Generation (RAG) pipelines using vector stores such as Pinecone, Chroma, or pgvector, including embedding generation, document chunking strategies, and semantic search optimization.&lt;/li&gt;&lt;li&gt;Ability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risk.&lt;/li&gt;&lt;li&gt;Exercises independent judgment with manager feedback, following defined processes, methods, and procedures.&lt;/li&gt;&lt;li&gt;Guides solution delivery end-to-end, providing appropriate documentation and sharing knowledge, lessons learned, and best practices with the team.&lt;/li&gt;&lt;li&gt;Performs other duties as assigned and modified at manager's discretion. &lt;br&gt;&lt;br&gt;&lt;/li&gt;&lt;/ul&gt;&lt;strong&gt;Knowledge, Skills And Abilities&lt;br&gt;&lt;br&gt;&lt;/strong&gt;&lt;ul&gt;&lt;li&gt;Superb knowledge of Atlassian suite (Bitbucket/Jira/Confluence) or similar tools; expert-level proficiency in Microsoft Office Suite.&lt;/li&gt;&lt;li&gt;Expert in at least 1 technical domain with strong ability to anticipate and resolve software issues.&lt;/li&gt;&lt;li&gt;Self-directed with ability to lead individuals, work with minimal supervision, and exercise independent judgment.&lt;/li&gt;&lt;li&gt;Familiar with breaking multi-week objectives into defined tasks and managing projects to deadlines without unnecessary time pressure.&lt;/li&gt;&lt;li&gt;Cross-functional influencer who contributes to consensus, drives best practices, and implements core controls to ensure success.&lt;/li&gt;&lt;li&gt;Proactively develops programs that improve productivity, revenue, and customer value.&lt;/li&gt;&lt;li&gt;Effective mentor who coaches junior team members, fosters a positive learning environment, and sets measurable objectives.&lt;/li&gt;&lt;li&gt;Strong written and verbal English communication skills.&lt;/li&gt;&lt;li&gt;Willingness to travel locally, regionally, and nationally up to 10%.&lt;/li&gt;&lt;li&gt;This job requires use and exercise of independent judgment. &lt;br&gt;&lt;br&gt;&lt;/li&gt;&lt;/ul&gt;&lt;strong&gt;Education And Experience Criteria&lt;br&gt;&lt;br&gt;&lt;/strong&gt;&lt;ul&gt;&lt;li&gt;Bachelor degree in Computer Science, Computer Information Systems, Software Engineering, Software Development, Mathematics or a related field OR additional experience above the minimum will be considered in lieu of the required education on a year-for-year basis required&lt;/li&gt;&lt;li&gt;A minimum of 3 years’ work experience as a software engineer or similar IT role or related field required&lt;/li&gt;&lt;li&gt;IT certification in Java, C, Objective-C, C++, Perl &amp;amp; Python or similar formats preferred&lt;br&gt;&lt;br&gt;&lt;/li&gt;&lt;/ul&gt;&lt;strong&gt;Pay Range&lt;br&gt;&lt;br&gt;&lt;/strong&gt;$91,165 - $130,235 Salary&lt;br&gt;&lt;br&gt;The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commissions.&lt;br&gt;&lt;br&gt;&lt;strong&gt;Employee Benefits&lt;br&gt;&lt;br&gt;&lt;/strong&gt;https://chenmed.makeityoursource.com/helpful-documents&lt;br&gt;&lt;br&gt;We’re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care.&lt;br&gt;&lt;br&gt;ChenMed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day.&lt;br&gt;&lt;br&gt;Current employees, if you want to apply to our internal career site, please click HERE&lt;br&gt;&lt;br&gt;Current Contingent Worker please see job aid HERE to apply&lt;br&gt;&lt;br&gt;</x:v>
      </x:c>
      <x:c r="AB46" s="68" t="str">
        <x:v>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 Experience in building and deploying AI application backends using FastAPI (Python) or Node.js/Express (TypeScript), containerization with Docker, and cloud deployment on platforms such as AWS, Azure, or GCP.
- Experience using Retrieval-Augmented Generation (RAG) pipelines using vector stores such as Pinecone, Chroma, or pgvector, including embedding generation, document chunking strategies, and semantic search optimization.
-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 Exercises independent judgment with manager feedback, following defined processes, methods, and procedures.
- Guides solution delivery end-to-end, providing appropriate documentation and sharing knowledge, lessons learned, and best practices with the team.
- Performs other duties as assigned and modified at manager's discretion. 
Knowledge, Skills And Abilities
- Superb knowledge of Atlassian suite (Bitbucket/Jira/Confluence) or similar tools; expert-level proficiency in Microsoft Office Suite.
- Expert in at least 1 technical domain with strong ability to anticipate and resolve software issues.
- Self-directed with ability to lead individuals, work with minimal supervision, and exercise independent judgment.
- Familiar with breaking multi-week objectives into defined tasks and managing projects to deadlines without unnecessary time pressure.
- Cross-functional influencer who contributes to consensus, drives best practices, and implements core controls to ensure success.
- Proactively develops programs that improve productivity, revenue, and customer value.
- Effective mentor who coaches junior team members, fosters a positive learning environment, and sets measurable objectives.
- Strong written and verbal English communication skills.
- Willingness to travel locally, regionally, and nationally up to 10%.
- This job requires use and exercise of independent judgment. 
Education And Experience Criteria
- Bachelor degree in Computer Science, Computer Information Systems, Software Engineering, Software Development, Mathematics or a related field OR additional experience above the minimum will be considered in lieu of the required education on a year-for-year basis required
- A minimum of 3 years’ work experience as a software engineer or similar IT role or related field required
- IT certification in Java, C, Objective-C, C++, Perl &amp;amp; Python or similar formats preferred
Pay Range
$91,165 - $130,235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employees, if you want to apply to our internal career site, please click HERE
Current Contingent Worker please see job aid HERE to apply
</x:v>
      </x:c>
      <x:c r="AC46" s="68" t="str">
        <x:v>Not Applicable</x:v>
      </x:c>
      <x:c r="AD46" s="68" t="str">
        <x:v>Full-time</x:v>
      </x:c>
      <x:c r="AE46" s="68" t="str">
        <x:v>Quality Assurance, Information Technology, and Engineering</x:v>
      </x:c>
      <x:c r="AF46" s="68" t="str">
        <x:v>Medical Practices</x:v>
      </x:c>
      <x:c r="AG46" s="68" t="str">
        <x:v>https://www.linkedin.com/jobs/search/?position=1&amp;pageNum=0&amp;keywords=AI+Engineer&amp;location=United+States&amp;distance=0&amp;f_TPR=r604800</x:v>
      </x:c>
      <x:c r="AH46" s="68" t="str">
        <x:v>{'type': 'PostalAddress', 'streetAddress': '1395 NW 167th Street', 'addressLocality': 'Miami Gardens', 'addressRegion': 'FL', 'postalCode': '33169', 'addressCountry': 'US'}</x:v>
      </x:c>
      <x:c r="AI46" s="68" t="str">
        <x:v>http://www.chenmed.com</x:v>
      </x:c>
      <x:c r="AJ46" s="68" t="str">
        <x:v>Urgently pursuing more good days for our patients and team members.</x:v>
      </x:c>
      <x:c r="AK46" s="68"/>
      <x:c r="AL46" s="68"/>
      <x:c r="AM46" s="68"/>
      <x:c r="AN46" s="68"/>
      <x:c r="AO46" s="68"/>
      <x:c r="AP46" s="68"/>
    </x:row>
    <x:row r="47" s="25" customFormat="1" ht="22" customHeight="1">
      <x:c r="A47" s="68" t="str">
        <x:v>4433473350</x:v>
      </x:c>
      <x:c r="B47" s="68" t="str">
        <x:v>Engineer, AI Platforms and Solutions</x:v>
      </x:c>
      <x:c r="C47" s="68" t="str">
        <x:v>Qualcomm</x:v>
      </x:c>
      <x:c r="D47" s="68" t="str">
        <x:v>San Diego, CA</x:v>
      </x:c>
      <x:c r="E47" s="68" t="str">
        <x:v>Failed</x:v>
      </x:c>
      <x:c r="F47" s="68"/>
      <x:c r="G47" s="69"/>
      <x:c r="H47" s="85" t="str">
        <x:v>2026-08-09</x:v>
      </x:c>
      <x:c r="I47" s="85"/>
      <x:c r="J47" s="68" t="str">
        <x:v>200</x:v>
      </x:c>
      <x:c r="K47" s="70"/>
      <x:c r="L47" s="86"/>
      <x:c r="M47" s="87"/>
      <x:c r="N47" s="71"/>
      <x:c r="O47" s="88"/>
      <x:c r="P47" s="89"/>
      <x:c r="Q47" s="89"/>
      <x:c r="R47" s="89"/>
      <x:c r="S47" s="73"/>
      <x:c r="T47" s="68"/>
      <x:c r="U47" s="68" t="str">
        <x:v>https://www.linkedin.com/jobs/view/engineer-ai-platforms-and-solutions-at-qualcomm-4433473350?position=39&amp;pageNum=0&amp;refId=s48tP56EQnHdC6rkSZpaEg%3D%3D&amp;trackingId=xxNHe0luNgKEXxTBqFzMQw%3D%3D</x:v>
      </x:c>
      <x:c r="V47" s="68" t="str">
        <x:v>xxNHe0luNgKEXxTBqFzMQw==</x:v>
      </x:c>
      <x:c r="W47" s="68" t="str">
        <x:v>s48tP56EQnHdC6rkSZpaEg==</x:v>
      </x:c>
      <x:c r="X47" s="68" t="str">
        <x:v>https://www.linkedin.com/company/qualcomm?trk=public_jobs_jserp-result_job-search-card-subtitle</x:v>
      </x:c>
      <x:c r="Y47" s="68" t="str">
        <x:v>https://media.licdn.com/dms/image/v2/D560BAQFOe36gT9mXIQ/company-logo_100_100/company-logo_100_100/0/1709233599959/qualcomm_logo?e=2147483647&amp;v=beta&amp;t=iGqgBDuzGG9XMxMrP62LF-NaNkyTgXbw1_Xp_Sghqdk</x:v>
      </x:c>
      <x:c r="Z47" s="68"/>
      <x:c r="AA47" s="68" t="str">
        <x:v>&lt;strong&gt;Company&lt;br&gt;&lt;br&gt;&lt;/strong&gt;Qualcomm Incorporated&lt;br&gt;&lt;br&gt;&lt;strong&gt;Job Area&lt;br&gt;&lt;br&gt;&lt;/strong&gt;Engineering Group, Engineering Group &amp;gt; Software Engineering&lt;br&gt;&lt;br&gt;&lt;strong&gt;General Summary&lt;br&gt;&lt;br&gt;&lt;/strong&gt;We are looking for a hands-on software engineer for our Qualcomm’s enterprise AI platform focused on knowledge retrieval engineering, agentic pipeline development, agent runtime management and agent powered applications.&lt;br&gt;&lt;br&gt;This is a fast-paced, execution-focused role involving rapid delivery of features, continuous iteration on pipelines, building new agentic solutions for business processes and integration of agentic capabilities into existing solutions.&lt;br&gt;&lt;br&gt;&lt;strong&gt;This role requires full-time onsite work in San Diego, CA (5 days per week). &lt;br&gt;&lt;br&gt;&lt;/strong&gt;&lt;ul&gt;&lt;li&gt;This role is not eligible for Qualcomm immigration sponsorship. &lt;br&gt;&lt;br&gt;&lt;br&gt;&lt;/li&gt;&lt;/ul&gt;Key Responsibilities&lt;br&gt;&lt;br&gt;&lt;ul&gt;&lt;li&gt;Work on enterprise-scale AI powered search and retrieval systems supporting various downstream applications and agents.&lt;/li&gt;&lt;li&gt;Design and improve end-to-end pipelines (ingestion → embedding → indexing → retrieval) with objective evaluation and test harnesses&lt;/li&gt;&lt;li&gt;Develop and integrate APIs/services/MCP/agent-tools to expose ML/AI capabilities&lt;/li&gt;&lt;li&gt;Improve retrieval relevance, chunking strategies, and embedding quality&lt;/li&gt;&lt;li&gt;Evaluate and debug search quality issues, hallucinations, and grounding failures&lt;/li&gt;&lt;li&gt;Collaborate with platform and infrastructure teams to deliver production-grade enterprise features&lt;br&gt;&lt;br&gt;&lt;br&gt;&lt;/li&gt;&lt;/ul&gt;&lt;strong&gt;Must-Have Qualifications&lt;br&gt;&lt;br&gt;&lt;/strong&gt;&lt;ul&gt;&lt;li&gt;Strong Python and Rust skills for data processing and application development&lt;/li&gt;&lt;li&gt;Experience with Search systems (Lexical, Semantic)&lt;/li&gt;&lt;li&gt;Understanding of ML fundamentals and NLP/embeddings&lt;/li&gt;&lt;li&gt;Hands-on experience with RAG systems and LLM-based applications&lt;/li&gt;&lt;li&gt;Experience building AI applications (including Agentic AI workflows)&lt;/li&gt;&lt;li&gt;Experience with API/service development (REST)&lt;/li&gt;&lt;li&gt;Solid understanding of Agentic frameworks (LangChain, Agno, etc.,)&lt;br&gt;&lt;br&gt;&lt;br&gt;&lt;/li&gt;&lt;/ul&gt;Nice-to-Have&lt;br&gt;&lt;br&gt;&lt;ul&gt;&lt;li&gt;Tracing/observability tools for LLM systems&lt;/li&gt;&lt;li&gt;Experience with Elasticsearch / vector search&lt;/li&gt;&lt;li&gt;Docker / Kubernetes exposure&lt;/li&gt;&lt;li&gt;Multi-agent systems and evaluation frameworks&lt;br&gt;&lt;br&gt;&lt;br&gt;&lt;/li&gt;&lt;/ul&gt;&lt;strong&gt;Minimum Qualifications&lt;br&gt;&lt;br&gt;&lt;/strong&gt;&lt;ul&gt;&lt;li&gt; Bachelor's degree in Engineering, Information Systems, Computer Science, or related field.&lt;br&gt;&lt;br&gt;&lt;br&gt;&lt;/li&gt;&lt;/ul&gt;Qualcomm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Benefits&lt;br&gt;&lt;br&gt;&lt;/strong&gt;$94,200.00 - $141,200.00&lt;br&gt;&lt;br&gt;The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x:v>
      </x:c>
      <x:c r="AB47" s="68" t="str">
        <x:v>Company
Qualcomm Incorporated
Job Area
Engineering Group, Engineering Group &amp;gt; Software Engineering
General Summary
We are looking for a hands-on software engineer for our Qualcomm’s enterprise AI platform focused on knowledge retrieval engineering, agentic pipeline development, agent runtime management and agent powered applications.
This is a fast-paced, execution-focused role involving rapid delivery of features, continuous iteration on pipelines, building new agentic solutions for business processes and integration of agentic capabilities into existing solutions.
This role requires full-time onsite work in San Diego, CA (5 days per week). 
- This role is not eligible for Qualcomm immigration sponsorship. 
Key Responsibilities
- Work on enterprise-scale AI powered search and retrieval systems supporting various downstream applications and agents.
- Design and improve end-to-end pipelines (ingestion → embedding → indexing → retrieval) with objective evaluation and test harnesses
- Develop and integrate APIs/services/MCP/agent-tools to expose ML/AI capabilities
- Improve retrieval relevance, chunking strategies, and embedding quality
- Evaluate and debug search quality issues, hallucinations, and grounding failures
- Collaborate with platform and infrastructure teams to deliver production-grade enterprise features
Must-Have Qualifications
- Strong Python and Rust skills for data processing and application development
- Experience with Search systems (Lexical, Semantic)
- Understanding of ML fundamentals and NLP/embeddings
- Hands-on experience with RAG systems and LLM-based applications
- Experience building AI applications (including Agentic AI workflows)
- Experience with API/service development (REST)
- Solid understanding of Agentic frameworks (LangChain, Agno, etc.,)
Nice-to-Have
- Tracing/observability tools for LLM systems
- Experience with Elasticsearch / vector search
- Docker / Kubernetes exposure
- Multi-agent systems and evaluation frameworks
Minimum Qualifications
-  Bachelor's degree in Engineering, Information Systems, Computer Science,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x:v>
      </x:c>
      <x:c r="AC47" s="68" t="str">
        <x:v>Not Applicable</x:v>
      </x:c>
      <x:c r="AD47" s="68" t="str">
        <x:v>Full-time</x:v>
      </x:c>
      <x:c r="AE47" s="68" t="str">
        <x:v>Other</x:v>
      </x:c>
      <x:c r="AF47" s="68" t="str">
        <x:v>Semiconductor Manufacturing</x:v>
      </x:c>
      <x:c r="AG47" s="68" t="str">
        <x:v>https://www.linkedin.com/jobs/search/?position=1&amp;pageNum=0&amp;keywords=AI+Engineer&amp;location=United+States&amp;distance=0&amp;f_TPR=r604800</x:v>
      </x:c>
      <x:c r="AH47" s="68" t="str">
        <x:v>{'type': 'PostalAddress', 'streetAddress': 'Qualcomm', 'addressLocality': 'San Diego', 'addressRegion': 'CA', 'postalCode': '92121', 'addressCountry': 'US'}</x:v>
      </x:c>
      <x:c r="AI47" s="68" t="str">
        <x:v>https://www.qualcomm.com/</x:v>
      </x:c>
      <x:c r="AJ47" s="68"/>
      <x:c r="AK47" s="68"/>
      <x:c r="AL47" s="68"/>
      <x:c r="AM47" s="68"/>
      <x:c r="AN47" s="68"/>
      <x:c r="AO47" s="68"/>
      <x:c r="AP47" s="68"/>
    </x:row>
    <x:row r="48" s="25" customFormat="1" ht="22" customHeight="1">
      <x:c r="A48" s="68" t="str">
        <x:v>4441385261</x:v>
      </x:c>
      <x:c r="B48" s="68" t="str">
        <x:v>Machine Learning Engineer</x:v>
      </x:c>
      <x:c r="C48" s="68" t="str">
        <x:v>Fluidstack</x:v>
      </x:c>
      <x:c r="D48" s="68" t="str">
        <x:v>Austin, TX</x:v>
      </x:c>
      <x:c r="E48" s="68" t="str">
        <x:v>Applied</x:v>
      </x:c>
      <x:c r="F48" s="68"/>
      <x:c r="G48" s="69"/>
      <x:c r="H48" s="85" t="str">
        <x:v>2026-08-08</x:v>
      </x:c>
      <x:c r="I48" s="85"/>
      <x:c r="J48" s="68" t="str">
        <x:v>200</x:v>
      </x:c>
      <x:c r="K48" s="70" t="str">
        <x:v>$224,000.00/yr - $279,000.00/yr</x:v>
      </x:c>
      <x:c r="L48" s="86"/>
      <x:c r="M48" s="87"/>
      <x:c r="N48" s="71"/>
      <x:c r="O48" s="88"/>
      <x:c r="P48" s="89"/>
      <x:c r="Q48" s="89"/>
      <x:c r="R48" s="89"/>
      <x:c r="S48" s="73"/>
      <x:c r="T48" s="68"/>
      <x:c r="U48" s="68" t="str">
        <x:v>https://www.linkedin.com/jobs/view/machine-learning-engineer-at-fluidstack-4441385261?position=38&amp;pageNum=0&amp;refId=s48tP56EQnHdC6rkSZpaEg%3D%3D&amp;trackingId=ndNd%2FLJtVK0ZTZQOsedk0g%3D%3D</x:v>
      </x:c>
      <x:c r="V48" s="68" t="str">
        <x:v>ndNd/LJtVK0ZTZQOsedk0g==</x:v>
      </x:c>
      <x:c r="W48" s="68" t="str">
        <x:v>s48tP56EQnHdC6rkSZpaEg==</x:v>
      </x:c>
      <x:c r="X48" s="68" t="str">
        <x:v>https://www.linkedin.com/company/fluidstack?trk=public_jobs_jserp-result_job-search-card-subtitle</x:v>
      </x:c>
      <x:c r="Y48" s="68" t="str">
        <x:v>https://media.licdn.com/dms/image/v2/D4D0BAQEDTPaf9dRQoQ/company-logo_100_100/B4DZolbNTTG8AQ-/0/1761564481055/fluidstack_logo?e=2147483647&amp;v=beta&amp;t=RNoHld59k_hG6q67qI5eSmnNfjaMqzMR9Wp3DjfBJQg</x:v>
      </x:c>
      <x:c r="Z48" s="68"/>
      <x:c r="AA48" s="68" t="str">
        <x:v>&lt;strong&gt;About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x:v>
      </x:c>
      <x:c r="AB48" s="68" t="str">
        <x:v>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x:v>
      </x:c>
      <x:c r="AC48" s="68" t="str">
        <x:v>Not Applicable</x:v>
      </x:c>
      <x:c r="AD48" s="68" t="str">
        <x:v>Full-time</x:v>
      </x:c>
      <x:c r="AE48" s="68" t="str">
        <x:v>Engineering and Information Technology</x:v>
      </x:c>
      <x:c r="AF48" s="68" t="str">
        <x:v>Technology, Information and Internet</x:v>
      </x:c>
      <x:c r="AG48" s="68" t="str">
        <x:v>https://www.linkedin.com/jobs/search/?position=1&amp;pageNum=0&amp;keywords=AI+Engineer&amp;location=United+States&amp;distance=0&amp;f_TPR=r604800</x:v>
      </x:c>
      <x:c r="AH48" s="68" t="str">
        <x:v>{'type': 'PostalAddress', 'addressLocality': 'New York', 'addressRegion': 'NY', 'addressCountry': 'US'}</x:v>
      </x:c>
      <x:c r="AI48" s="68" t="str">
        <x:v>fluidstack.com</x:v>
      </x:c>
      <x:c r="AJ48" s="68" t="str">
        <x:v>Infrastructure for Abundant Intelligence</x:v>
      </x:c>
      <x:c r="AK48" s="68"/>
      <x:c r="AL48" s="68"/>
      <x:c r="AM48" s="68"/>
      <x:c r="AN48" s="68"/>
      <x:c r="AO48" s="68"/>
      <x:c r="AP48" s="68"/>
    </x:row>
    <x:row r="49" s="25" customFormat="1" ht="22" customHeight="1">
      <x:c r="A49" s="68" t="str">
        <x:v>4438317294</x:v>
      </x:c>
      <x:c r="B49" s="68" t="str">
        <x:v>Machine Learning Engineer - Generative AI</x:v>
      </x:c>
      <x:c r="C49" s="68" t="str">
        <x:v>Qualcomm</x:v>
      </x:c>
      <x:c r="D49" s="68" t="str">
        <x:v>San Diego, CA</x:v>
      </x:c>
      <x:c r="E49" s="68" t="str">
        <x:v>Failed</x:v>
      </x:c>
      <x:c r="F49" s="68"/>
      <x:c r="G49" s="69"/>
      <x:c r="H49" s="85" t="str">
        <x:v>2026-08-05</x:v>
      </x:c>
      <x:c r="I49" s="85"/>
      <x:c r="J49" s="68" t="str">
        <x:v>200</x:v>
      </x:c>
      <x:c r="K49" s="70"/>
      <x:c r="L49" s="86"/>
      <x:c r="M49" s="87"/>
      <x:c r="N49" s="71"/>
      <x:c r="O49" s="88"/>
      <x:c r="P49" s="89"/>
      <x:c r="Q49" s="89"/>
      <x:c r="R49" s="89"/>
      <x:c r="S49" s="73"/>
      <x:c r="T49" s="68"/>
      <x:c r="U49" s="68" t="str">
        <x:v>https://www.linkedin.com/jobs/view/machine-learning-engineer-generative-ai-at-qualcomm-4438317294?position=32&amp;pageNum=0&amp;refId=s48tP56EQnHdC6rkSZpaEg%3D%3D&amp;trackingId=FxbkP7x3EU%2FoVJ8IVFnQIQ%3D%3D</x:v>
      </x:c>
      <x:c r="V49" s="68" t="str">
        <x:v>FxbkP7x3EU/oVJ8IVFnQIQ==</x:v>
      </x:c>
      <x:c r="W49" s="68" t="str">
        <x:v>s48tP56EQnHdC6rkSZpaEg==</x:v>
      </x:c>
      <x:c r="X49" s="68" t="str">
        <x:v>https://www.linkedin.com/company/qualcomm?trk=public_jobs_jserp-result_job-search-card-subtitle</x:v>
      </x:c>
      <x:c r="Y49" s="68" t="str">
        <x:v>https://media.licdn.com/dms/image/v2/D560BAQFOe36gT9mXIQ/company-logo_100_100/company-logo_100_100/0/1709233599959/qualcomm_logo?e=2147483647&amp;v=beta&amp;t=iGqgBDuzGG9XMxMrP62LF-NaNkyTgXbw1_Xp_Sghqdk</x:v>
      </x:c>
      <x:c r="Z49" s="68"/>
      <x:c r="AA49" s="68" t="str">
        <x:v>&lt;strong&gt;Company&lt;br&gt;&lt;br&gt;&lt;/strong&gt;Qualcomm Technologies, Inc.&lt;br&gt;&lt;br&gt;&lt;strong&gt;Job Area&lt;br&gt;&lt;br&gt;&lt;/strong&gt;Engineering Group, Engineering Group &amp;gt; Modem Technologies Software&lt;br&gt;&lt;br&gt;&lt;strong&gt;General Summary&lt;br&gt;&lt;br&gt;&lt;/strong&gt;We are seeking an experienced Machine Learning Engineer specializing in Generative AI to join our core AI team.&lt;br&gt;&lt;br&gt;The ideal candidate will be responsible for designing, developing, and deploying cutting-edge generative AI solutions, with a focus on Large Language Models (LLMs), Retrieval-Augmented Generation (RAG), and Intelligent agent systems.&lt;br&gt;&lt;br&gt;&lt;strong&gt;Key Responsibilities&lt;br&gt;&lt;br&gt;&lt;/strong&gt;&lt;ul&gt;&lt;li&gt;Design and implement RAG-based solutions to enhance LLM capabilities with external knowledge sources&lt;/li&gt;&lt;li&gt;Develop and optimize LLM fine-tuning strategies for specific use cases and domain adaptation&lt;/li&gt;&lt;li&gt;Create robust evaluation frameworks for measuring and improving model performance&lt;/li&gt;&lt;li&gt;Build and maintain agentic workflows for autonomous AI systems&lt;/li&gt;&lt;li&gt;Collaborate with cross-functional teams to identify opportunities and implement AI solutions&lt;br&gt;&lt;br&gt;&lt;br&gt;&lt;/li&gt;&lt;/ul&gt;&lt;strong&gt;Minimum Qualifications&lt;br&gt;&lt;br&gt;&lt;/strong&gt;&lt;ul&gt;&lt;li&gt; Bachelor's degree in Computer Engineering, Computer Science, Electrical Engineering, or related field.&lt;br&gt;&lt;br&gt;&lt;br&gt;&lt;/li&gt;&lt;/ul&gt;&lt;strong&gt;Preferred Qualifications&lt;br&gt;&lt;br&gt;&lt;/strong&gt;&lt;ul&gt;&lt;li&gt;Experience with popular LLM frameworks (Langchain, LlamaIndex, Transformers)&lt;/li&gt;&lt;li&gt;Knowledge of prompt engineering and chain-of-thought techniques&lt;/li&gt;&lt;li&gt;Experience with containerization and microservices architecture&lt;/li&gt;&lt;li&gt;Background in Reinforcement Learning&lt;/li&gt;&lt;li&gt;Contributions to open-source AI projects&lt;/li&gt;&lt;li&gt;Experience with ML ops and model deployment pipelines&lt;br&gt;&lt;br&gt;&lt;br&gt;&lt;/li&gt;&lt;/ul&gt;&lt;strong&gt;Skills And Competencies&lt;br&gt;&lt;br&gt;&lt;/strong&gt;&lt;ul&gt;&lt;li&gt;Strong programming skills in Python and experience with ML frameworks (PyTorch, TensorFlow)&lt;/li&gt;&lt;li&gt;Practical experience with LLM deployments and fine-tuning&lt;/li&gt;&lt;li&gt;Experience with vector databases and embedding models&lt;/li&gt;&lt;li&gt;Familiarity with modern AI/ML infrastructure and cloud platforms (AWS, GCP, Azure)&lt;/li&gt;&lt;li&gt;Strong understanding of RAG architectures and implementation&lt;/li&gt;&lt;li&gt;Strong problem-solving and analytical skills&lt;/li&gt;&lt;li&gt;Excellent communication and collaboration abilities&lt;/li&gt;&lt;li&gt;Experience with agile development methodologies&lt;/li&gt;&lt;li&gt;Ability to balance multiple projects and priorities&lt;/li&gt;&lt;li&gt;Strong focus on code quality and best practices&lt;/li&gt;&lt;li&gt;Understanding of AI ethics and responsible AI development&lt;br&gt;&lt;br&gt;&lt;br&gt;&lt;/li&gt;&lt;/ul&gt;Qualcomm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Benefits&lt;br&gt;&lt;br&gt;&lt;/strong&gt;$104,000.00 - $156,000.00&lt;br&gt;&lt;br&gt;The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x:v>
      </x:c>
      <x:c r="AB49" s="68" t="str">
        <x:v>Company
Qualcomm Technologies, Inc.
Job Area
Engineering Group, Engineering Group &amp;gt; Modem Technologies Software
General Summary
We are seeking an experienced Machine Learning Engineer specializing in Generative AI to join our core AI team.
The ideal candidate will be responsible for designing, developing, and deploying cutting-edge generative AI solutions, with a focus on Large Language Models (LLMs), Retrieval-Augmented Generation (RAG), and Intelligent agent systems.
Key Responsibilities
- Design and implement RAG-based solutions to enhance LLM capabilities with external knowledge sources
- Develop and optimize LLM fine-tuning strategies for specific use cases and domain adaptation
- Create robust evaluation frameworks for measuring and improving model performance
- Build and maintain agentic workflows for autonomous AI systems
- Collaborate with cross-functional teams to identify opportunities and implement AI solutions
Minimum Qualifications
-  Bachelor's degree in Computer Engineering, Computer Science, Electrical Engineering, or related field.
Preferred Qualifications
- Experience with popular LLM frameworks (Langchain, LlamaIndex, Transformers)
- Knowledge of prompt engineering and chain-of-thought techniques
- Experience with containerization and microservices architecture
- Background in Reinforcement Learning
- Contributions to open-source AI projects
- Experience with ML ops and model deployment pipelines
Skills And Competencies
- Strong programming skills in Python and experience with ML frameworks (PyTorch, TensorFlow)
- Practical experience with LLM deployments and fine-tuning
- Experience with vector databases and embedding models
- Familiarity with modern AI/ML infrastructure and cloud platforms (AWS, GCP, Azure)
- Strong understanding of RAG architectures and implementation
- Strong problem-solving and analytical skills
- Excellent communication and collaboration abilities
- Experience with agile development methodologies
- Ability to balance multiple projects and priorities
- Strong focus on code quality and best practices
- Understanding of AI ethics and responsible AI development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$104,000.00 - $156,000.00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x:v>
      </x:c>
      <x:c r="AC49" s="68" t="str">
        <x:v>Not Applicable</x:v>
      </x:c>
      <x:c r="AD49" s="68" t="str">
        <x:v>Full-time</x:v>
      </x:c>
      <x:c r="AE49" s="68" t="str">
        <x:v>Other</x:v>
      </x:c>
      <x:c r="AF49" s="68" t="str">
        <x:v>Semiconductor Manufacturing</x:v>
      </x:c>
      <x:c r="AG49" s="68" t="str">
        <x:v>https://www.linkedin.com/jobs/search/?position=1&amp;pageNum=0&amp;keywords=AI+Engineer&amp;location=United+States&amp;distance=0&amp;f_TPR=r604800</x:v>
      </x:c>
      <x:c r="AH49" s="68" t="str">
        <x:v>{'type': 'PostalAddress', 'streetAddress': 'Qualcomm', 'addressLocality': 'San Diego', 'addressRegion': 'CA', 'postalCode': '92121', 'addressCountry': 'US'}</x:v>
      </x:c>
      <x:c r="AI49" s="68" t="str">
        <x:v>https://www.qualcomm.com/</x:v>
      </x:c>
      <x:c r="AJ49" s="68"/>
      <x:c r="AK49" s="68"/>
      <x:c r="AL49" s="68"/>
      <x:c r="AM49" s="68"/>
      <x:c r="AN49" s="68"/>
      <x:c r="AO49" s="68"/>
      <x:c r="AP49" s="68"/>
    </x:row>
    <x:row r="50" s="25" customFormat="1" ht="22" customHeight="1">
      <x:c r="A50" s="68" t="str">
        <x:v>4448637238</x:v>
      </x:c>
      <x:c r="B50" s="68" t="str">
        <x:v>AI and Machine Learning Engineer</x:v>
      </x:c>
      <x:c r="C50" s="68" t="str">
        <x:v>Hewlett Packard Enterprise</x:v>
      </x:c>
      <x:c r="D50" s="68" t="str">
        <x:v>Spring, TX</x:v>
      </x:c>
      <x:c r="E50" s="68" t="str">
        <x:v>Applied</x:v>
      </x:c>
      <x:c r="F50" s="68"/>
      <x:c r="G50" s="69"/>
      <x:c r="H50" s="85" t="str">
        <x:v>2026-08-05</x:v>
      </x:c>
      <x:c r="I50" s="85"/>
      <x:c r="J50" s="68" t="str">
        <x:v>200</x:v>
      </x:c>
      <x:c r="K50" s="70"/>
      <x:c r="L50" s="86"/>
      <x:c r="M50" s="87"/>
      <x:c r="N50" s="71"/>
      <x:c r="O50" s="88"/>
      <x:c r="P50" s="89"/>
      <x:c r="Q50" s="89"/>
      <x:c r="R50" s="89"/>
      <x:c r="S50" s="73"/>
      <x:c r="T50" s="68"/>
      <x:c r="U50" s="68" t="str">
        <x:v>https://www.linkedin.com/jobs/view/ai-and-machine-learning-engineer-at-hewlett-packard-enterprise-4448637238?position=49&amp;pageNum=0&amp;refId=s48tP56EQnHdC6rkSZpaEg%3D%3D&amp;trackingId=2tFIJaZymQIaPK36FCoEkA%3D%3D</x:v>
      </x:c>
      <x:c r="V50" s="68" t="str">
        <x:v>2tFIJaZymQIaPK36FCoEkA==</x:v>
      </x:c>
      <x:c r="W50" s="68" t="str">
        <x:v>s48tP56EQnHdC6rkSZpaEg==</x:v>
      </x:c>
      <x:c r="X50" s="68" t="str">
        <x:v>https://www.linkedin.com/company/hewlett-packard-enterprise?trk=public_jobs_jserp-result_job-search-card-subtitle</x:v>
      </x:c>
      <x:c r="Y50" s="68" t="str">
        <x:v>https://media.licdn.com/dms/image/v2/D4E0BAQG3eeRIFGMG9g/company-logo_100_100/B4EZdkxlEZH0AU-/0/1749742408362/hewlett_packard_enterprise_logo?e=2147483647&amp;v=beta&amp;t=ijFn20TK1upEkeiP1oWhqe152s87m6307NkiugLc8_E</x:v>
      </x:c>
      <x:c r="Z50" s="68"/>
      <x:c r="AA50" s="68" t="str">
        <x:v>This role has been designed as 'Hybrid' with a requirement that you will work on average 2 days per week from an HPE office.&lt;br&gt;&lt;br&gt;&lt;strong&gt;Who We Are&lt;br&gt;&lt;br&gt;&lt;/strong&gt;Hewlett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HPE.&lt;br&gt;&lt;br&gt;&lt;strong&gt;Job Description&lt;br&gt;&lt;br&gt;&lt;/strong&gt;High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you.&lt;br&gt;&lt;br&gt;&lt;strong&gt;Responsibilities&lt;br&gt;&lt;br&gt;&lt;/strong&gt;&lt;ul&gt;&lt;li&gt;Installs and configures complex IT infrastructure components (servers, storage, network)&lt;/li&gt;&lt;li&gt;Develop software scripts and configurations for automating deployment.&lt;/li&gt;&lt;li&gt;Study and improve the performance of Large Language Models run on HPE GPU servers&lt;/li&gt;&lt;li&gt;Performs system level analysis of server workloads on various HPE platforms running DL and ML code to include accelerated hardware and high-speed networks like InfiniBand&lt;/li&gt;&lt;li&gt;Writes white papers and other guidance documents for AI workload and model selection&lt;/li&gt;&lt;li&gt;Captures and reviews system performance data, logs, traces to understand workload behaviour&lt;/li&gt;&lt;li&gt;Develops software and scripts that help analyse AI workload performance data&lt;/li&gt;&lt;li&gt;Communicates technical work well and can provide summaries of work to non-technical colleagues&lt;/li&gt;&lt;li&gt;Works with software and hardware partners in optimizing systems and resolving performance issues&lt;/li&gt;&lt;li&gt;Documents and reports issues discovered when testing and evaluating the systems&lt;/li&gt;&lt;li&gt;Communicates project status and concerns to management in a timely manner&lt;/li&gt;&lt;li&gt;Provides guidance to less-experienced staff members.&lt;/li&gt;&lt;li&gt;Runs AI and HPC benchmarks.&lt;br&gt;&lt;br&gt;&lt;/li&gt;&lt;/ul&gt;&lt;strong&gt;Education And Experience Required&lt;br&gt;&lt;br&gt;&lt;/strong&gt;&lt;ul&gt;&lt;li&gt;Master's degree or PhD in Computer Science, Engineering, Information Technology or Systems, or relevant field.&lt;/li&gt;&lt;li&gt;5+ years of experience.&lt;br&gt;&lt;br&gt;&lt;/li&gt;&lt;/ul&gt;&lt;strong&gt;Knowledge And Skills&lt;br&gt;&lt;br&gt;&lt;/strong&gt;&lt;ul&gt;&lt;li&gt;5+ years of experience in Machine Learning/Artificial Intelligence and 5+ years of experience in HPC&lt;/li&gt;&lt;li&gt;Experience running NCCL, HPL and AI benchmarks.&lt;/li&gt;&lt;li&gt;Experience working with containers and distributed deep learning and neural networks, to include transformers used in generative AI projects&lt;/li&gt;&lt;li&gt;Experience working with High Performance Computer Servers, High Performance Networking, and associated software, including resource managers like Slurm&lt;/li&gt;&lt;li&gt;Experience working with Weka I/O, NFTS and Lustre File Systems&lt;/li&gt;&lt;li&gt;Programming experience in Python, C, C++&lt;/li&gt;&lt;li&gt;Strong analytical and critical thinking skills&lt;/li&gt;&lt;li&gt;Scripting, process automation and CI/CD are strongly desired&lt;/li&gt;&lt;li&gt;Must be a self-starter and be able to work with minimum supervision in a semi-remote setting&lt;br&gt;&lt;br&gt;&lt;/li&gt;&lt;/ul&gt;&lt;strong&gt;Additional Skills&lt;br&gt;&lt;br&gt;&lt;/strong&gt;Artificial Intelligence Technologies, Cross Domain Knowledge, Data Engineering, Data Science, Design Thinking, Development Fundamentals, Full Stack Development, IT Performance, Machine Learning Operations, Scalability Testing, Security-First Mindset.&lt;br&gt;&lt;br&gt;&lt;strong&gt;What We Can Offer You&lt;br&gt;&lt;br&gt;&lt;/strong&gt;&lt;strong&gt;Health &amp;amp; Wellbeing&lt;br&gt;&lt;br&gt;&lt;/strong&gt;We strive to provide our team members and their loved ones with a comprehensive suite of benefits that supports their physical, financial and emotional wellbeing.&lt;br&gt;&lt;br&gt;&lt;strong&gt;Personal &amp;amp; Professional Development&lt;br&gt;&lt;br&gt;&lt;/strong&gt;We also invest in your career because the better you are, the better we all are. We have specific programs catered to helping you reach any career goals you have — whether you want to become a knowledge expert in your field or apply your skills to another division.&lt;br&gt;&lt;br&gt;&lt;strong&gt;Unconditional Inclusion&lt;br&gt;&lt;br&gt;&lt;/strong&gt;We are unconditionally inclusive in the way we work and celebrate individual uniqueness. We know varied backgrounds are valued and succeed here. We have the flexibility to manage our work and personal needs. We make bold moves, together, and are a force for good.&lt;br&gt;&lt;br&gt;&lt;strong&gt;Let's Stay Connected&lt;br&gt;&lt;br&gt;&lt;/strong&gt;Follow @HPECareers on Instagram to see the latest on people, culture and tech at HPE.&lt;br&gt;&lt;br&gt;#unitedstates&lt;br&gt;&lt;br&gt;&lt;strong&gt;Job&lt;br&gt;&lt;br&gt;&lt;/strong&gt;Engineering&lt;br&gt;&lt;br&gt;&lt;strong&gt;Job Level&lt;br&gt;&lt;br&gt;&lt;/strong&gt;TCP_03&lt;br&gt;&lt;br&gt;"The expected salary/wage range for this position is provided below. Actual offer may vary from this range based upon geographic location, work experience, education/training, and/or skill level.&lt;br&gt;&lt;br&gt;– United States of America: Annual Salary USD 120,500 - 276,500 in Texas&lt;br&gt;&lt;br&gt;The listed salary range reflects base salary. Variable incentives may also be offered."&lt;br&gt;&lt;br&gt;Information about employee benefits offered in the US can be found at https://myhperewards.com/main/new-hire-enrollment.html&lt;br&gt;&lt;br&gt;HPE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Opportunity.&lt;br&gt;&lt;br&gt;&lt;strong&gt;Hewlett Packard Enterprise is EEO Protected Veteran/ Individual with Disabilities.&lt;br&gt;&lt;br&gt;&lt;/strong&gt;HPE will comply with all applicable laws related to employer use of arrest and conviction records, including laws requiring employers to consider for employment qualified applicants with criminal histories.&lt;br&gt;&lt;br&gt;&lt;strong&gt;Recruitment Fraud Alert&lt;br&gt;&lt;br&gt;&lt;/strong&gt;We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applications.&lt;br&gt;&lt;br&gt;All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x:v>
      </x:c>
      <x:c r="AB50" s="68" t="str">
        <x:v>This role has been designed as 'Hybrid' with a requirement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
Responsibilities
- Installs and configures complex IT infrastructure components (servers, storage, network)
- Develop software scripts and configurations for automating deployment.
- Study and improve the performance of Large Language Models run on HPE GPU servers
- Performs system level analysis of server workloads on various HPE platforms running DL and ML code to include accelerated hardware and high-speed networks like InfiniBand
- Writes white papers and other guidance documents for AI workload and model selection
- Captures and reviews system performance data, logs, traces to understand workload behaviour
- Develops software and scripts that help analyse AI workload performance data
- Communicates technical work well and can provide summaries of work to non-technical colleagues
- Works with software and hardware partners in optimizing systems and resolving performance issues
- Documents and reports issues discovered when testing and evaluating the systems
- Communicates project status and concerns to management in a timely manner
- Provides guidance to less-experienced staff members.
- Runs AI and HPC benchmarks.
Education And Experience Required
- Master's degree or PhD in Computer Science, Engineering, Information Technology or Systems, or relevant field.
- 5+ years of experience.
Knowledge And Skills
- 5+ years of experience in Machine Learning/Artificial Intelligence and 5+ years of experience in HPC
- Experience running NCCL, HPL and AI benchmarks.
- Experience working with containers and distributed deep learning and neural networks, to include transformers used in generative AI projects
- Experience working with High Performance Computer Servers, High Performance Networking, and associated software, including resource managers like Slurm
- Experience working with Weka I/O, NFTS and Lustre File Systems
- Programming experience in Python, C, C++
- Strong analytical and critical thinking skills
- Scripting, process automation and CI/CD are strongly desired
- Must be a self-starter and be able to work with minimum supervision in a semi-remote setting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120,500 - 276,500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x:v>
      </x:c>
      <x:c r="AC50" s="68" t="str">
        <x:v>Not Applicable</x:v>
      </x:c>
      <x:c r="AD50" s="68" t="str">
        <x:v>Full-time</x:v>
      </x:c>
      <x:c r="AE50" s="68" t="str">
        <x:v>Engineering and Information Technology</x:v>
      </x:c>
      <x:c r="AF50" s="68" t="str">
        <x:v>IT Services and IT Consulting</x:v>
      </x:c>
      <x:c r="AG50" s="68" t="str">
        <x:v>https://www.linkedin.com/jobs/search/?position=1&amp;pageNum=0&amp;keywords=AI+Engineer&amp;location=United+States&amp;distance=0&amp;f_TPR=r604800</x:v>
      </x:c>
      <x:c r="AH50" s="68" t="str">
        <x:v>{'type': 'PostalAddress', 'streetAddress': '1701 E Mossy Oaks Rd Spring', 'addressLocality': 'Houston', 'addressRegion': 'Texas', 'postalCode': '77389', 'addressCountry': 'US'}</x:v>
      </x:c>
      <x:c r="AI50" s="68" t="str">
        <x:v>http://hpe.com</x:v>
      </x:c>
      <x:c r="AJ50" s="68"/>
      <x:c r="AK50" s="68"/>
      <x:c r="AL50" s="68"/>
      <x:c r="AM50" s="68"/>
      <x:c r="AN50" s="68"/>
      <x:c r="AO50" s="68"/>
      <x:c r="AP50" s="68"/>
    </x:row>
    <x:row r="51" s="25" customFormat="1" ht="22" customHeight="1">
      <x:c r="A51" s="68" t="str">
        <x:v>4438020681</x:v>
      </x:c>
      <x:c r="B51" s="68" t="str">
        <x:v>AI Engineer II</x:v>
      </x:c>
      <x:c r="C51" s="68" t="str">
        <x:v>McCarthy Holdings, Inc.</x:v>
      </x:c>
      <x:c r="D51" s="68" t="str">
        <x:v>St Louis, MO</x:v>
      </x:c>
      <x:c r="E51" s="68" t="str">
        <x:v>Applied</x:v>
      </x:c>
      <x:c r="F51" s="68"/>
      <x:c r="G51" s="69"/>
      <x:c r="H51" s="85" t="str">
        <x:v>2026-08-05</x:v>
      </x:c>
      <x:c r="I51" s="85"/>
      <x:c r="J51" s="68" t="str">
        <x:v>200</x:v>
      </x:c>
      <x:c r="K51" s="70"/>
      <x:c r="L51" s="86"/>
      <x:c r="M51" s="87"/>
      <x:c r="N51" s="71"/>
      <x:c r="O51" s="88"/>
      <x:c r="P51" s="89"/>
      <x:c r="Q51" s="89"/>
      <x:c r="R51" s="89"/>
      <x:c r="S51" s="73"/>
      <x:c r="T51" s="68"/>
      <x:c r="U51" s="68" t="str">
        <x:v>https://www.linkedin.com/jobs/view/ai-engineer-ii-at-mccarthy-holdings-inc-4438020681?position=37&amp;pageNum=0&amp;refId=s48tP56EQnHdC6rkSZpaEg%3D%3D&amp;trackingId=E5I7O9UfkFMrFQ8ezIyW8w%3D%3D</x:v>
      </x:c>
      <x:c r="V51" s="68" t="str">
        <x:v>E5I7O9UfkFMrFQ8ezIyW8w==</x:v>
      </x:c>
      <x:c r="W51" s="68" t="str">
        <x:v>s48tP56EQnHdC6rkSZpaEg==</x:v>
      </x:c>
      <x:c r="X51" s="68" t="str">
        <x:v>https://www.linkedin.com/company/mccarthy-holdings-inc?trk=public_jobs_jserp-result_job-search-card-subtitle</x:v>
      </x:c>
      <x:c r="Y51" s="68" t="str">
        <x:v>https://media.licdn.com/dms/image/v2/D560BAQGWFxY0gIl10A/company-logo_100_100/company-logo_100_100/0/1719256004787/mccarthy_holdings_inc_logo?e=2147483647&amp;v=beta&amp;t=r6uiqRQ1t92FyWxy5qqAtOx-uxnk61G7nzE2Ar_4FeE</x:v>
      </x:c>
      <x:c r="Z51" s="68"/>
      <x:c r="AA51" s="68" t="str">
        <x:v>&lt;strong&gt;McCarthy Holdings, Inc. (McCarthy)&lt;/strong&gt;,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&lt;strong&gt;100 percent employee-owned company&lt;/strong&gt;.&lt;br&gt;&lt;br&gt;At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&lt;strong&gt;Genuine&lt;/strong&gt;. &lt;strong&gt;We, Not I&lt;/strong&gt;. &lt;strong&gt;All In.&lt;br&gt;&lt;br&gt;&lt;/strong&gt;How do McCarthy partners define our culture?&lt;br&gt;&lt;br&gt;&lt;ul&gt;&lt;li&gt; &lt;strong&gt;We Live Our Core Values:&lt;/strong&gt; We do whatever it takes to deliver on our promises with honesty and integrity.&lt;/li&gt;&lt;li&gt; &lt;strong&gt;We are Employee Owned:&lt;/strong&gt; We are personally invested in building the things people need in our communities.&lt;/li&gt;&lt;li&gt; &lt;strong&gt;We Feel Like a Family:&lt;/strong&gt; We value genuine connections and help each other succeed in an inclusive environment.&lt;/li&gt;&lt;li&gt; &lt;strong&gt;We are Builders:&lt;/strong&gt; We respect the work we do and everyone who helps make it happen safely.&lt;br&gt;&lt;br&gt;&lt;br&gt;&lt;/li&gt;&lt;/ul&gt;&lt;strong&gt;Position Summary&lt;br&gt;&lt;br&gt;&lt;/strong&gt;McCarthy is seeking a full-time AI Engineer II who will be part of the Engineering and Intelligence team. In this role, you will design, build, and support AI-powered applications and workflows that help drive business value across the enterprise.&lt;br&gt;&lt;br&gt;Working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capabilities.&lt;br&gt;&lt;br&gt;The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preferred.&lt;br&gt;&lt;br&gt;&lt;strong&gt;RESPONSIBILITES&lt;br&gt;&lt;br&gt;&lt;/strong&gt;&lt;ul&gt;&lt;li&gt;Design, develop, test, and maintain AI-powered applications, services, and workflows that support enterprise business processes.&lt;/li&gt;&lt;li&gt;Build and support generative AI and agentic solutions using modern AI engineering practices and frameworks.&lt;/li&gt;&lt;li&gt;Develop and maintain data pipelines, integrations, and reusable data products that enable AI and analytics use cases.&lt;/li&gt;&lt;li&gt;Contribute to the design and evolution of data models and ontologies that support operational and analytical workflows.&lt;/li&gt;&lt;li&gt;Develop and optimize prompts, retrieval strategies, and agent workflows to improve solution effectiveness, reliability, and user experience.&lt;/li&gt;&lt;li&gt;Leverage AI-assisted development tools and coding copilots to accelerate delivery while maintaining high standards for code quality, testing, security, and maintainability.&lt;/li&gt;&lt;li&gt;Participate in MLOps and PromptOps processes, including deployment, monitoring, evaluation, versioning, and continuous improvement of AI systems.&lt;/li&gt;&lt;li&gt;Collaborate with business and technical stakeholders to translate business requirements into practical technical solutions.&lt;/li&gt;&lt;li&gt;Support production AI solutions through troubleshooting, performance tuning, monitoring, and ongoing enhancement activities.&lt;/li&gt;&lt;li&gt;Contribute to documentation, reusable patterns, and engineering best practices that improve team effectiveness and solution consistency.&lt;/li&gt;&lt;li&gt;Follow established AI governance, security, and Responsible AI standards throughout the solution lifecycle.&lt;br&gt;&lt;br&gt;&lt;br&gt;&lt;/li&gt;&lt;/ul&gt;&lt;strong&gt;Qualifications&lt;br&gt;&lt;br&gt;&lt;/strong&gt;&lt;ul&gt;&lt;li&gt;Minimum 3 years of experience in software engineering, AI engineering, machine learning, data engineering, or a related technical discipline.&lt;/li&gt;&lt;li&gt;Bachelor’s degree in Computer Science, Engineering, Data Science, Information Systems, or a related field (or equivalent practical experience).&lt;/li&gt;&lt;li&gt;Experience building and deploying AI-enabled applications or machine learning solutions in production environments.&lt;/li&gt;&lt;li&gt;Strong programming skills in Python and experience with modern software engineering practices.&lt;/li&gt;&lt;li&gt;Data pipelines, ETL/ELT processes, and API-based integrations&lt;/li&gt;&lt;li&gt;SQL and relational data modeling&lt;/li&gt;&lt;li&gt;Cloud platforms such as Azure, AWS, or GCP&lt;/li&gt;&lt;li&gt;Containerized and serverless application deployment patterns&lt;/li&gt;&lt;li&gt;Building solutions on enterprise AI and data platforms such as Palantir Foundry, Azure AI, AWS, GCP, or Dataiku.&lt;/li&gt;&lt;li&gt;Generative AI platforms and frameworks such as OpenAI, Anthropic, LangChain, LlamaIndex, Hugging Face, or similar technologies.&lt;/li&gt;&lt;li&gt;Prompt engineering, evaluation methodologies, and retrieval-augmented generation (RAG) patterns.&lt;/li&gt;&lt;li&gt;Experience with Palantir Foundry is strongly preferred, including familiarity with:&lt;/li&gt;&lt;li&gt;Ontology-driven application development&lt;/li&gt;&lt;li&gt;AIP and AI-enabled workflows&lt;/li&gt;&lt;li&gt;Data products and pipeline development&lt;/li&gt;&lt;li&gt;Workshop applications and operational workflows&lt;/li&gt;&lt;li&gt;Code Repositories and software delivery within Foundry environments&lt;/li&gt;&lt;li&gt;Understanding of responsible AI concepts, including transparency, human oversight, security, and governance practices.&lt;br&gt;&lt;br&gt;&lt;br&gt;&lt;/li&gt;&lt;/ul&gt;&lt;strong&gt;CHARACTERISTICS&lt;br&gt;&lt;br&gt;&lt;/strong&gt;&lt;ul&gt;&lt;li&gt;Strong problem-solving and analytical skills with the ability to work through ambiguity and deliver practical solutions.&lt;/li&gt;&lt;li&gt;Effective communication skills and the ability to collaborate with technical and non-technical stakeholders.&lt;/li&gt;&lt;li&gt;Curiosity and enthusiasm for emerging AI technologies and software engineering practices.&lt;/li&gt;&lt;li&gt;Strong attention to quality, maintainability, and user experience.&lt;/li&gt;&lt;li&gt;Ability to learn new technologies quickly and apply them effectively in a business environment.&lt;/li&gt;&lt;li&gt;High degree of accountability, ownership, and commitment to delivering results.&lt;br&gt;&lt;br&gt;&lt;br&gt;&lt;/li&gt;&lt;/ul&gt;&lt;em&gt;McCarthy is proud to be an equal opportunity employer, including disability and protected veteran status.&lt;br&gt;&lt;br&gt;&lt;/em&gt;&lt;em&gt;&lt;strong&gt;NOTICE TO EXTERNAL SEARCH FIRMS: &lt;/strong&gt; McCarthy’s Talent Acquisition Team is the &lt;strong&gt;only authorized representative&lt;/strong&gt; permitted to engage with external search firms, staffing agencies, or other third-party recruiting partners. McCarthy maintains an Approved Agency List for recruiting partners, which is reviewed and updated annually.&lt;br&gt;&lt;br&gt;McCarthy will only consider submissions from agencies with a signed fee agreement in place for the current year. McCarthy does not accept unsolicited resumes, candidate submissions, or referrals from agencies that do not meet these requirements.&lt;br&gt;&lt;br&gt;If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McCarthy.&lt;/em&gt;</x:v>
      </x:c>
      <x:c r="AB51" s="68" t="str">
        <x:v>McCarthy Holdings, Inc. (McCarthy),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100 percent employee-owned company.
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Genuine. We, Not I. All In.
How do McCarthy partners define our culture?
-  We Live Our Core Values: We do whatever it takes to deliver on our promises with honesty and integrity.
-  We are Employee Owned: We are personally invested in building the things people need in our communities.
-  We Feel Like a Family: We value genuine connections and help each other succeed in an inclusive environment.
-  We are Builders: We respect the work we do and everyone who helps make it happen safely.
Position Summary
McCarthy is seeking a full-time AI Engineer II who will be part of the Engineering and Intelligence team. In this role, you will design, build, and support AI-powered applications and workflows that help drive business value across the enterprise.
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
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
RESPONSIBILITES
- Design, develop, test, and maintain AI-powered applications, services, and workflows that support enterprise business processes.
- Build and support generative AI and agentic solutions using modern AI engineering practices and frameworks.
- Develop and maintain data pipelines, integrations, and reusable data products that enable AI and analytics use cases.
- Contribute to the design and evolution of data models and ontologies that support operational and analytical workflows.
- Develop and optimize prompts, retrieval strategies, and agent workflows to improve solution effectiveness, reliability, and user experience.
- Leverage AI-assisted development tools and coding copilots to accelerate delivery while maintaining high standards for code quality, testing, security, and maintainability.
- Participate in MLOps and PromptOps processes, including deployment, monitoring, evaluation, versioning, and continuous improvement of AI systems.
- Collaborate with business and technical stakeholders to translate business requirements into practical technical solutions.
- Support production AI solutions through troubleshooting, performance tuning, monitoring, and ongoing enhancement activities.
- Contribute to documentation, reusable patterns, and engineering best practices that improve team effectiveness and solution consistency.
- Follow established AI governance, security, and Responsible AI standards throughout the solution lifecycle.
Qualifications
- Minimum 3 years of experience in software engineering, AI engineering, machine learning, data engineering, or a related technical discipline.
- Bachelor’s degree in Computer Science, Engineering, Data Science, Information Systems, or a related field (or equivalent practical experience).
- Experience building and deploying AI-enabled applications or machine learning solutions in production environments.
- Strong programming skills in Python and experience with modern software engineering practices.
- Data pipelines, ETL/ELT processes, and API-based integrations
- SQL and relational data modeling
- Cloud platforms such as Azure, AWS, or GCP
- Containerized and serverless application deployment patterns
- Building solutions on enterprise AI and data platforms such as Palantir Foundry, Azure AI, AWS, GCP, or Dataiku.
- Generative AI platforms and frameworks such as OpenAI, Anthropic, LangChain, LlamaIndex, Hugging Face, or similar technologies.
- Prompt engineering, evaluation methodologies, and retrieval-augmented generation (RAG) patterns.
- Experience with Palantir Foundry is strongly preferred, including familiarity with:
- Ontology-driven application development
- AIP and AI-enabled workflows
- Data products and pipeline development
- Workshop applications and operational workflows
- Code Repositories and software delivery within Foundry environments
- Understanding of responsible AI concepts, including transparency, human oversight, security, and governance practices.
CHARACTERISTICS
- Strong problem-solving and analytical skills with the ability to work through ambiguity and deliver practical solutions.
- Effective communication skills and the ability to collaborate with technical and non-technical stakeholders.
- Curiosity and enthusiasm for emerging AI technologies and software engineering practices.
- Strong attention to quality, maintainability, and user experience.
- Ability to learn new technologies quickly and apply them effectively in a business environment.
- High degree of accountability, ownership, and commitment to delivering results.
McCarthy is proud to be an equal opportunity employer, including disability and protected veteran status.
NOTICE TO EXTERNAL SEARCH FIRMS:  McCarthy’s Talent Acquisition Team is the only authorized representative permitted to engage with external search firms, staffing agencies, or other third-party recruiting partners. McCarthy maintains an Approved Agency List for recruiting partners, which is reviewed and updated annually.
McCarthy will only consider submissions from agencies with a signed fee agreement in place for the current year. McCarthy does not accept unsolicited resumes, candidate submissions, or referrals from agencies that do not meet these requirements.
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x:v>
      </x:c>
      <x:c r="AC51" s="68" t="str">
        <x:v>Not Applicable</x:v>
      </x:c>
      <x:c r="AD51" s="68" t="str">
        <x:v>Full-time</x:v>
      </x:c>
      <x:c r="AE51" s="68" t="str">
        <x:v>Engineering and Information Technology</x:v>
      </x:c>
      <x:c r="AF51" s="68" t="str">
        <x:v>Construction</x:v>
      </x:c>
      <x:c r="AG51" s="68" t="str">
        <x:v>https://www.linkedin.com/jobs/search/?position=1&amp;pageNum=0&amp;keywords=AI+Engineer&amp;location=United+States&amp;distance=0&amp;f_TPR=r604800</x:v>
      </x:c>
      <x:c r="AH51" s="68" t="str">
        <x:v>{'type': 'PostalAddress', 'streetAddress': '12851 Manchester Rd', 'addressLocality': 'St Louis', 'addressRegion': 'Missouri', 'postalCode': '63131', 'addressCountry': 'US'}</x:v>
      </x:c>
      <x:c r="AI51" s="68" t="str">
        <x:v>https://www.mccarthyholdingsinc.com/</x:v>
      </x:c>
      <x:c r="AJ51" s="68"/>
      <x:c r="AK51" s="68"/>
      <x:c r="AL51" s="68"/>
      <x:c r="AM51" s="68"/>
      <x:c r="AN51" s="68"/>
      <x:c r="AO51" s="68"/>
      <x:c r="AP51" s="68"/>
    </x:row>
    <x:row r="52" s="25" customFormat="1" ht="22" customHeight="1">
      <x:c r="A52" s="68" t="str">
        <x:v>4442779386</x:v>
      </x:c>
      <x:c r="B52" s="68" t="str">
        <x:v>AI/ML Software Engineer</x:v>
      </x:c>
      <x:c r="C52" s="68" t="str">
        <x:v>GE Aerospace</x:v>
      </x:c>
      <x:c r="D52" s="68" t="str">
        <x:v>Cincinnati, OH</x:v>
      </x:c>
      <x:c r="E52" s="68" t="str">
        <x:v>Failed</x:v>
      </x:c>
      <x:c r="F52" s="68"/>
      <x:c r="G52" s="69"/>
      <x:c r="H52" s="85" t="str">
        <x:v>2026-08-11</x:v>
      </x:c>
      <x:c r="I52" s="85"/>
      <x:c r="J52" s="68" t="str">
        <x:v>200</x:v>
      </x:c>
      <x:c r="K52" s="70"/>
      <x:c r="L52" s="86"/>
      <x:c r="M52" s="87"/>
      <x:c r="N52" s="71"/>
      <x:c r="O52" s="88"/>
      <x:c r="P52" s="89"/>
      <x:c r="Q52" s="89"/>
      <x:c r="R52" s="89"/>
      <x:c r="S52" s="73"/>
      <x:c r="T52" s="68"/>
      <x:c r="U52" s="68" t="str">
        <x:v>https://www.linkedin.com/jobs/view/ai-ml-software-engineer-at-ge-aerospace-4442779386?position=33&amp;pageNum=0&amp;refId=s48tP56EQnHdC6rkSZpaEg%3D%3D&amp;trackingId=n55SsL%2FPxA%2BBcKtJpvV%2F6g%3D%3D</x:v>
      </x:c>
      <x:c r="V52" s="68" t="str">
        <x:v>n55SsL/PxA+BcKtJpvV/6g==</x:v>
      </x:c>
      <x:c r="W52" s="68" t="str">
        <x:v>s48tP56EQnHdC6rkSZpaEg==</x:v>
      </x:c>
      <x:c r="X52" s="68" t="str">
        <x:v>https://www.linkedin.com/company/geaerospace?trk=public_jobs_jserp-result_job-search-card-subtitle</x:v>
      </x:c>
      <x:c r="Y52" s="68" t="str">
        <x:v>https://media.licdn.com/dms/image/v2/D560BAQGEU0_PAp08RQ/company-logo_100_100/company-logo_100_100/0/1684425911325/geaerospace_logo?e=2147483647&amp;v=beta&amp;t=HXlHe7oek_KsFozfRipvTDifqD8vGAOFiktdn3C8yvU</x:v>
      </x:c>
      <x:c r="Z52" s="68"/>
      <x:c r="AA52" s="68" t="str">
        <x:v>&lt;strong&gt;Job Description Summary&lt;br&gt;&lt;br&gt;&lt;/strong&gt;This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flight.&lt;br&gt;&lt;br&gt;&lt;strong&gt;Job Description&lt;br&gt;&lt;br&gt;&lt;/strong&gt;&lt;strong&gt;Key Responsibilities:&lt;br&gt;&lt;br&gt;&lt;/strong&gt;&lt;ul&gt;&lt;li&gt;Design, build, and maintain agentic workflows and autonomous systems&lt;/li&gt;&lt;li&gt;Develop and integrate AI models into production-grade applications&lt;/li&gt;&lt;li&gt;Collaborate with cross-functional teams to gather requirements and deliver AI-driven solutions&lt;/li&gt;&lt;li&gt;Implement orchestration logic for multi-agent systems and task automation&lt;/li&gt;&lt;li&gt;Write clean, scalable, and maintainable code in support of AI initiatives&lt;/li&gt;&lt;li&gt;Monitor and optimize the performance of AI systems in production&lt;/li&gt;&lt;li&gt;Stay current with advancements in AI, LLMs, and agentic architectures &lt;br&gt;&lt;br&gt;&lt;/li&gt;&lt;/ul&gt;&lt;strong&gt;Minimum Required Qualifications&lt;br&gt;&lt;br&gt;&lt;/strong&gt;&lt;ul&gt;&lt;li&gt;Bachelor's Degree in Computer Science or “STEM” Majors (Science, Technology, Engineering and Math)&lt;/li&gt;&lt;li&gt;Minimum of 3 years in AI/ML engineering experience.&lt;/li&gt;&lt;li&gt;GE Aerospace will not sponsor individuals for employment visas, now or in the future, for this job opening.&lt;br&gt;&lt;br&gt;&lt;/li&gt;&lt;/ul&gt;&lt;strong&gt;Preferred Skills And Qualifications&lt;br&gt;&lt;br&gt;&lt;/strong&gt;&lt;ul&gt;&lt;li&gt;Provide a valid LinkedIn profile.&lt;/li&gt;&lt;li&gt;This role is a hybrid between an AI engineer, data scientist, and software developer, designed for someone who can operate across the full lifecycle of AI system development.&lt;/li&gt;&lt;li&gt;Proven experience as a Full Stack Engineer with AI/ML background&lt;/li&gt;&lt;li&gt;The work involves using AWS tools to design and build AI-driven systems — not just training or fine-tuning models, but also crafting effective prompts, validating model performance through data analysis, and managing risks like hallucinations or bias.&lt;/li&gt;&lt;li&gt;The role requires building prototype-level data pipelines that move data to and from models for training, evaluation, and review.&lt;/li&gt;&lt;li&gt;Strong software development skills with proficiency in Python, JupyterHub, GitHub, Visual Studio, etc.&lt;/li&gt;&lt;li&gt;Exposure to designing and building agentic workflows or multi-agent systems.&lt;/li&gt;&lt;li&gt;Familiarity with orchestration frameworks (e.g., LangChain, AutoGen, CrewAI, or similar)&lt;/li&gt;&lt;li&gt;Solid understanding of AI/ML concepts, including LLMs and prompt engineering&lt;/li&gt;&lt;li&gt;Experience with cloud platforms (e.g., AWS, Azure, GCP) and containerization (Docker, Kubernetes) and in solution architecture.&lt;/li&gt;&lt;li&gt;Ability to navigate ambiguous/complex challenges.&lt;/li&gt;&lt;li&gt;Experience applying AI/ML techniques to solve real-world problems.&lt;/li&gt;&lt;li&gt;Ability to interact with customers, understand their needs, and provide technical support.&lt;br&gt;&lt;br&gt;&lt;/li&gt;&lt;/ul&gt;The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2026.&lt;br&gt;&lt;br&gt;GE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individual.&lt;br&gt;&lt;br&gt;&lt;em&gt;This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1324b(a)(3)).&lt;br&gt;&lt;br&gt;&lt;/em&gt;&lt;strong&gt;&lt;strong&gt;Additional Information&lt;br&gt;&lt;br&gt;&lt;/strong&gt;&lt;/strong&gt;GE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law.&lt;br&gt;&lt;br&gt;GE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testing.&lt;br&gt;&lt;br&gt;&lt;strong&gt;Relocation Assistance Provided: &lt;/strong&gt;No&lt;br&gt;&lt;br&gt;&lt;ul&gt;&lt;li&gt; This is a remote position&lt;br&gt;&lt;br&gt;&lt;/li&gt;&lt;/ul&gt;</x:v>
      </x:c>
      <x:c r="AB52" s="68" t="str">
        <x:v>Job Description Summary
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
Job Description
Key Responsibilities:
- Design, build, and maintain agentic workflows and autonomous systems
- Develop and integrate AI models into production-grade applications
- Collaborate with cross-functional teams to gather requirements and deliver AI-driven solutions
- Implement orchestration logic for multi-agent systems and task automation
- Write clean, scalable, and maintainable code in support of AI initiatives
- Monitor and optimize the performance of AI systems in production
- Stay current with advancements in AI, LLMs, and agentic architectures 
Minimum Required Qualifications
- Bachelor's Degree in Computer Science or “STEM” Majors (Science, Technology, Engineering and Math)
- Minimum of 3 years in AI/ML engineering experience.
- GE Aerospace will not sponsor individuals for employment visas, now or in the future, for this job opening.
Preferred Skills And Qualifications
- Provide a valid LinkedIn profile.
- This role is a hybrid between an AI engineer, data scientist, and software developer, designed for someone who can operate across the full lifecycle of AI system development.
- Proven experience as a Full Stack Engineer with AI/ML background
- The work involves using AWS tools to design and build AI-driven systems — not just training or fine-tuning models, but also crafting effective prompts, validating model performance through data analysis, and managing risks like hallucinations or bias.
- The role requires building prototype-level data pipelines that move data to and from models for training, evaluation, and review.
- Strong software development skills with proficiency in Python, JupyterHub, GitHub, Visual Studio, etc.
- Exposure to designing and building agentic workflows or multi-agent systems.
- Familiarity with orchestration frameworks (e.g., LangChain, AutoGen, CrewAI, or similar)
- Solid understanding of AI/ML concepts, including LLMs and prompt engineering
- Experience with cloud platforms (e.g., AWS, Azure, GCP) and containerization (Docker, Kubernetes) and in solution architecture.
- Ability to navigate ambiguous/complex challenges.
- Experience applying AI/ML techniques to solve real-world problems.
- Ability to interact with customers, understand their needs, and provide technical support.
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
Relocation Assistance Provided: No
-  This is a remote position
</x:v>
      </x:c>
      <x:c r="AC52" s="68" t="str">
        <x:v>Not Applicable</x:v>
      </x:c>
      <x:c r="AD52" s="68" t="str">
        <x:v>Full-time</x:v>
      </x:c>
      <x:c r="AE52" s="68" t="str">
        <x:v>Engineering and Information Technology</x:v>
      </x:c>
      <x:c r="AF52" s="68" t="str">
        <x:v>Aviation and Aerospace Component Manufacturing</x:v>
      </x:c>
      <x:c r="AG52" s="68" t="str">
        <x:v>https://www.linkedin.com/jobs/search/?position=1&amp;pageNum=0&amp;keywords=AI+Engineer&amp;location=United+States&amp;distance=0&amp;f_TPR=r604800</x:v>
      </x:c>
      <x:c r="AH52" s="68" t="str">
        <x:v>{'type': 'PostalAddress', 'streetAddress': 'Cincinnati', 'addressLocality': 'Cincinnati', 'addressRegion': 'OH', 'postalCode': '45215', 'addressCountry': 'US'}</x:v>
      </x:c>
      <x:c r="AI52" s="68" t="str">
        <x:v>http://www.geaerospace.com</x:v>
      </x:c>
      <x:c r="AJ52" s="68"/>
      <x:c r="AK52" s="68"/>
      <x:c r="AL52" s="68"/>
      <x:c r="AM52" s="68"/>
      <x:c r="AN52" s="68"/>
      <x:c r="AO52" s="68"/>
      <x:c r="AP52" s="68"/>
    </x:row>
    <x:row r="53" s="25" customFormat="1" ht="22" customHeight="1">
      <x:c r="A53" s="68" t="str">
        <x:v>4449291064</x:v>
      </x:c>
      <x:c r="B53" s="68" t="str">
        <x:v>AI &amp; Machine Learning Engineer</x:v>
      </x:c>
      <x:c r="C53" s="68" t="str">
        <x:v>USAA</x:v>
      </x:c>
      <x:c r="D53" s="68" t="str">
        <x:v>San Antonio, TX</x:v>
      </x:c>
      <x:c r="E53" s="68" t="str">
        <x:v>Failed</x:v>
      </x:c>
      <x:c r="F53" s="68"/>
      <x:c r="G53" s="69"/>
      <x:c r="H53" s="85" t="str">
        <x:v>2026-08-09</x:v>
      </x:c>
      <x:c r="I53" s="85"/>
      <x:c r="J53" s="68" t="str">
        <x:v>128</x:v>
      </x:c>
      <x:c r="K53" s="70"/>
      <x:c r="L53" s="86"/>
      <x:c r="M53" s="87"/>
      <x:c r="N53" s="71"/>
      <x:c r="O53" s="88"/>
      <x:c r="P53" s="89"/>
      <x:c r="Q53" s="89"/>
      <x:c r="R53" s="89"/>
      <x:c r="S53" s="73"/>
      <x:c r="T53" s="68"/>
      <x:c r="U53" s="68" t="str">
        <x:v>https://www.linkedin.com/jobs/view/ai-machine-learning-engineer-at-usaa-4449291064?position=30&amp;pageNum=0&amp;refId=s48tP56EQnHdC6rkSZpaEg%3D%3D&amp;trackingId=WdF3XPYfG7jyAhAnw8gKvQ%3D%3D</x:v>
      </x:c>
      <x:c r="V53" s="68" t="str">
        <x:v>WdF3XPYfG7jyAhAnw8gKvQ==</x:v>
      </x:c>
      <x:c r="W53" s="68" t="str">
        <x:v>s48tP56EQnHdC6rkSZpaEg==</x:v>
      </x:c>
      <x:c r="X53" s="68" t="str">
        <x:v>https://www.linkedin.com/company/usaa?trk=public_jobs_jserp-result_job-search-card-subtitle</x:v>
      </x:c>
      <x:c r="Y53" s="68" t="str">
        <x:v>https://media.licdn.com/dms/image/v2/C4E0BAQFI2UB_4CpQnA/company-logo_100_100/company-logo_100_100/0/1630604721834/usaa_logo?e=2147483647&amp;v=beta&amp;t=n5ddjQFmPMdEavgDOFftcYCAFOAshJhGMEKtdui-n1k</x:v>
      </x:c>
      <x:c r="Z53" s="68"/>
      <x:c r="AA53" s="68" t="str">
        <x:v>&lt;strong&gt;Why USAA?&lt;br&gt;&lt;br&gt;&lt;/strong&gt;At USAA, our mission is to empower our members to achieve financial security through highly competitive products, exceptional service and trusted advice. We seek to be the #1 choice for the military community and their families.&lt;br&gt;&lt;br&gt;Embrace a fulfilling career at USAA, where our core values – honesty, integrity, loyalty and service – define how we treat each other and our members. Be part of what truly makes us special and impactful.&lt;br&gt;&lt;br&gt;We are proud to support active-duty military spouses. USAA roles may offer remote or hybrid flexibility for active-duty military spouses consistent with applicable policy and business needs.&lt;br&gt;&lt;br&gt;&lt;strong&gt;The Opportunity&lt;br&gt;&lt;br&gt;&lt;/strong&gt;The &lt;strong&gt;Artificial Intelligence and Machine Learning Engineer&lt;/strong&gt;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pipelines.&lt;br&gt;&lt;br&gt;We offer a flexible work environment that requires an individual to be &lt;strong&gt;in the office 4 days per week.&lt;/strong&gt; This position can be based in one of the following locations: San Antonio, TX, or Plano, TX. Relocation assistance is &lt;strong&gt;not&lt;/strong&gt; available for this position.&lt;br&gt;&lt;br&gt;&lt;strong&gt;What You'll Do&lt;br&gt;&lt;br&gt;&lt;/strong&gt;&lt;ul&gt;&lt;li&gt;Contributes to the development, testing, implementation, and integration of processes with business applications that utilize machine learning model predictions and classifications to inform or drive business activities.&lt;/li&gt;&lt;li&gt;Leverage understanding of models and collaborate with Data Scientists to refactor the code into IT maintainable solutions that follows best practices and meets appropriate coding standards.&lt;/li&gt;&lt;li&gt;Adheres to and applies ML development standards and coding best practices.&lt;/li&gt;&lt;li&gt;Works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models.&lt;/li&gt;&lt;li&gt;Assists with designing and writing test scripts to verify data integrity and application of functionality. Reviews functionality of existing test scripts for understanding.&lt;/li&gt;&lt;li&gt;Develops familiarity of machine learning engineering best practices by participating in trainings, reviewing documentation, and reading code from existing solutions.&lt;/li&gt;&lt;li&gt;Configure, manage, and set up AI/ML infrastructure components in cloud/on-prem environments for projects and the AI/ML community stakeholders. This includes AWS, GCP, graph databases.&lt;/li&gt;&lt;li&gt;Ensures risks associated with business activities are effectively identified, measured, monitored, and controlled in accordance with risk and compliance policies and procedures.&lt;br&gt;&lt;br&gt;&lt;/li&gt;&lt;/ul&gt;&lt;strong&gt;What You Have&lt;br&gt;&lt;br&gt;&lt;/strong&gt;&lt;ul&gt;&lt;li&gt;Bachelor's degree; OR 4 years of relevant education and/or experience; and&lt;/li&gt;&lt;li&gt;2+ years of machine learning engineering, data engineering, or software development experience implementing data solutions.&lt;/li&gt;&lt;li&gt;Programming skills using Python, SQL, etc.&lt;/li&gt;&lt;li&gt;Working understanding of data engineering concepts.&lt;/li&gt;&lt;li&gt;Working experience implementing machine learning solutions.&lt;/li&gt;&lt;li&gt;Familiarity with Data Science principles and methodologies.&lt;/li&gt;&lt;li&gt;Familiarity with statistical and predictive modeling approaches and machine learning concepts.&lt;/li&gt;&lt;li&gt;Working experience using industry standard machine learning related libraries such as pandas, numPy, sci-kit learn, etc.&lt;/li&gt;&lt;li&gt;Effective communication skills with the ability to work effectively in a team-oriented setting.&lt;/li&gt;&lt;li&gt;Working knowledge of cloud platform fundamentals and familiarity with at least one platform e.g., AWS or GCP.&lt;br&gt;&lt;br&gt;&lt;/li&gt;&lt;/ul&gt;&lt;strong&gt;What Sets You Apart&lt;br&gt;&lt;br&gt;&lt;/strong&gt;&lt;ul&gt;&lt;li&gt;Experience developing APIs&lt;/li&gt;&lt;li&gt;Programming skills using FastAPI, OpenShift, Snowflake (or any similar platform), Java, etc.&lt;/li&gt;&lt;li&gt;Financial services, insurance, banking, or other highly regulated industry experience.&lt;/li&gt;&lt;li&gt;US military experience through military service or a military spouse/domestic partner&lt;br&gt;&lt;br&gt;&lt;/li&gt;&lt;/ul&gt;&lt;strong&gt;Compensation range: &lt;/strong&gt;The salary range for this position is: $103,450 - $197,730.&lt;br&gt;&lt;br&gt;&lt;strong&gt;USAA does not provide visa sponsorship for this role.&lt;/strong&gt; Please do not apply for this role if at any time (now or in the future) you will need immigration support (i.e., H-1B, TN, STEM OPT Training Plans, etc.).&lt;br&gt;&lt;br&gt;&lt;strong&gt;Compensation:&lt;/strong&gt; USAA has an effective process for assessing market data and establishing ranges to ensure we remain competitive. You are paid within the salary range based on your experience and market data of the position. The actual salary for this role may vary by location.&lt;br&gt;&lt;br&gt;Employees may be eligible for pay incentives based on overall corporate and individual performance and at the discretion of the USAA Board of Directors.&lt;br&gt;&lt;br&gt;The above description reflects the details considered necessary to describe the principal functions of the job and should not be construed as a detailed description of all the work requirements that may be performed in the job.&lt;br&gt;&lt;br&gt;&lt;strong&gt;Benefits:&lt;/strong&gt;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goals.&lt;br&gt;&lt;br&gt;For more details on our outstanding benefits, visit our benefits page on USAAjobs.com.&lt;br&gt;&lt;br&gt;&lt;em&gt;Applications for this position are accepted on an ongoing basis, this posting will remain open until the position is filled. Thus, interested candidates are encouraged to apply the same day they view this posting. &lt;br&gt;&lt;br&gt;&lt;/em&gt;&lt;em&gt;USAA is an Equal Opportunity Employer. All qualified applicants will receive consideration for employment without regard to race, color, religion, sex, sexual orientation, gender identity, national origin, disability, or status as a protected veteran.&lt;/em&gt;</x:v>
      </x:c>
      <x:c r="AB53" s="68" t="str">
        <x:v>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The Artificial Intelligence and Machine Learning Engineer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
We offer a flexible work environment that requires an individual to be in the office 4 days per week. This position can be based in one of the following locations: San Antonio, TX, or Plano, TX. Relocation assistance is not available for this position.
What You'll Do
- Contributes to the development, testing, implementation, and integration of processes with business applications that utilize machine learning model predictions and classifications to inform or drive business activities.
- Leverage understanding of models and collaborate with Data Scientists to refactor the code into IT maintainable solutions that follows best practices and meets appropriate coding standards.
- Adheres to and applies ML development standards and coding best practices.
- 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
- Assists with designing and writing test scripts to verify data integrity and application of functionality. Reviews functionality of existing test scripts for understanding.
- Develops familiarity of machine learning engineering best practices by participating in trainings, reviewing documentation, and reading code from existing solutions.
- Configure, manage, and set up AI/ML infrastructure components in cloud/on-prem environments for projects and the AI/ML community stakeholders. This includes AWS, GCP, graph databases.
- Ensures risks associated with business activities are effectively identified, measured, monitored, and controlled in accordance with risk and compliance policies and procedures.
What You Have
- Bachelor's degree; OR 4 years of relevant education and/or experience; and
- 2+ years of machine learning engineering, data engineering, or software development experience implementing data solutions.
- Programming skills using Python, SQL, etc.
- Working understanding of data engineering concepts.
- Working experience implementing machine learning solutions.
- Familiarity with Data Science principles and methodologies.
- Familiarity with statistical and predictive modeling approaches and machine learning concepts.
- Working experience using industry standard machine learning related libraries such as pandas, numPy, sci-kit learn, etc.
- Effective communication skills with the ability to work effectively in a team-oriented setting.
- Working knowledge of cloud platform fundamentals and familiarity with at least one platform e.g., AWS or GCP.
What Sets You Apart
- Experience developing APIs
- Programming skills using FastAPI, OpenShift, Snowflake (or any similar platform), Java, etc.
- Financial services, insurance, banking, or other highly regulated industry experience.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x:v>
      </x:c>
      <x:c r="AC53" s="68" t="str">
        <x:v>Not Applicable</x:v>
      </x:c>
      <x:c r="AD53" s="68" t="str">
        <x:v>Full-time</x:v>
      </x:c>
      <x:c r="AE53" s="68" t="str">
        <x:v>Engineering and Information Technology</x:v>
      </x:c>
      <x:c r="AF53" s="68" t="str">
        <x:v>Financial Services</x:v>
      </x:c>
      <x:c r="AG53" s="68" t="str">
        <x:v>https://www.linkedin.com/jobs/search/?position=1&amp;pageNum=0&amp;keywords=AI+Engineer&amp;location=United+States&amp;distance=0&amp;f_TPR=r604800</x:v>
      </x:c>
      <x:c r="AH53" s="68" t="str">
        <x:v>{'type': 'PostalAddress', 'streetAddress': '9800 Fredericksburg Rd.', 'addressLocality': 'San Antonio', 'addressRegion': 'Texas', 'postalCode': '78288', 'addressCountry': 'US'}</x:v>
      </x:c>
      <x:c r="AI53" s="68" t="str">
        <x:v>http://www.usaajobs.com</x:v>
      </x:c>
      <x:c r="AJ53" s="68" t="str">
        <x:v>Join Our Mission</x:v>
      </x:c>
      <x:c r="AK53" s="68"/>
      <x:c r="AL53" s="68"/>
      <x:c r="AM53" s="68"/>
      <x:c r="AN53" s="68"/>
      <x:c r="AO53" s="68"/>
      <x:c r="AP53" s="68"/>
    </x:row>
    <x:row r="54" s="25" customFormat="1" ht="22" customHeight="1">
      <x:c r="A54" s="68" t="str">
        <x:v>4448474376</x:v>
      </x:c>
      <x:c r="B54" s="68" t="str">
        <x:v>AI Engineer</x:v>
      </x:c>
      <x:c r="C54" s="68" t="str">
        <x:v>Corridor</x:v>
      </x:c>
      <x:c r="D54" s="68" t="str">
        <x:v>San Francisco, CA</x:v>
      </x:c>
      <x:c r="E54" s="68" t="str">
        <x:v>Applied</x:v>
      </x:c>
      <x:c r="F54" s="68"/>
      <x:c r="G54" s="69"/>
      <x:c r="H54" s="85" t="str">
        <x:v>2026-08-06</x:v>
      </x:c>
      <x:c r="I54" s="85"/>
      <x:c r="J54" s="68" t="str">
        <x:v>200</x:v>
      </x:c>
      <x:c r="K54" s="70"/>
      <x:c r="L54" s="86"/>
      <x:c r="M54" s="87"/>
      <x:c r="N54" s="71"/>
      <x:c r="O54" s="88"/>
      <x:c r="P54" s="89"/>
      <x:c r="Q54" s="89"/>
      <x:c r="R54" s="89"/>
      <x:c r="S54" s="73"/>
      <x:c r="T54" s="68"/>
      <x:c r="U54" s="68" t="str">
        <x:v>https://www.linkedin.com/jobs/view/ai-engineer-at-corridor-4448474376?position=29&amp;pageNum=0&amp;refId=s48tP56EQnHdC6rkSZpaEg%3D%3D&amp;trackingId=cOu9AMWIlEdNichEL5yYYQ%3D%3D</x:v>
      </x:c>
      <x:c r="V54" s="68" t="str">
        <x:v>cOu9AMWIlEdNichEL5yYYQ==</x:v>
      </x:c>
      <x:c r="W54" s="68" t="str">
        <x:v>s48tP56EQnHdC6rkSZpaEg==</x:v>
      </x:c>
      <x:c r="X54" s="68" t="str">
        <x:v>https://www.linkedin.com/company/corridorsecurity?trk=public_jobs_jserp-result_job-search-card-subtitle</x:v>
      </x:c>
      <x:c r="Y54" s="68" t="str">
        <x:v>https://media.licdn.com/dms/image/v2/D560BAQGMr5cGpkwTog/company-logo_100_100/B56ZsY1Y5vI0AQ-/0/1765648208555/corridorsecurity_logo?e=2147483647&amp;v=beta&amp;t=L81nPYiIWnf9YnWvBlUovVq4SWQJ5fzQJzAepeK-3MU</x:v>
      </x:c>
      <x:c r="Z54" s="68"/>
      <x:c r="AA54" s="68" t="str">
        <x:v>&lt;strong&gt;About Corridor&lt;br&gt;&lt;br&gt;&lt;/strong&gt;Software development is becoming autonomous. The fastest teams already work this way, and at Corridor, we are leading the way on secure development as the rest of the industry follows.&lt;br&gt;&lt;br&gt;Security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ship.&lt;br&gt;&lt;br&gt;We're a small, talented team, led by Jack Cable (Former CISA - Secure by Design), Ashwin Ramaswami (Former CISA, Stanford, and Schmidt Futures) and, Alex Stamos (Former CISO of Facebook, Yahoo, SentinelOne).&lt;br&gt;&lt;br&gt;Corridor is backed by Conviction, with a $25M Series A led by Felicis and our customers include ElevenLabs, Lovable, Mercor, and Langchain.&lt;br&gt;&lt;br&gt;&lt;strong&gt;What You’ll Do&lt;br&gt;&lt;br&gt;&lt;/strong&gt;&lt;ul&gt;&lt;li&gt;Build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security&lt;br&gt;&lt;br&gt;&lt;/li&gt;&lt;/ul&gt;&lt;strong&gt;What We’re Looking For&lt;br&gt;&lt;br&gt;&lt;/strong&gt;&lt;ul&gt;&lt;li&gt;Strong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projects&lt;br&gt;&lt;br&gt;&lt;/li&gt;&lt;/ul&gt;&lt;strong&gt;Nice to Have&lt;br&gt;&lt;br&gt;&lt;/strong&gt;&lt;ul&gt;&lt;li&gt;Experience with code generation and/or security&lt;/li&gt;&lt;li&gt;Prior research experience or publications in ML/AI or security venues&lt;/li&gt;&lt;li&gt;Open-source contributions or public technical writing (blogs, benchmarks, demos)&lt;br&gt;&lt;br&gt;&lt;/li&gt;&lt;/ul&gt;&lt;strong&gt;About Us&lt;br&gt;&lt;br&gt;&lt;/strong&gt;&lt;ul&gt;&lt;li&gt;Co-founder and CEO Jack Cable is a top-ranked bug bounty hunter who previously led Secure by Design at CISA.&lt;/li&gt;&lt;li&gt;Co-founder and CTO Ashwin Ramaswami built large-scale systems at Skiff, Caldera, and Nooks, and published research on AI and open foundation models at Stanford.&lt;/li&gt;&lt;li&gt;CPO Alex Stamos is the former CISO of Facebook, Yahoo, and SentinelOne and a current lecturer at Stanford University.&lt;br&gt;&lt;br&gt;&lt;/li&gt;&lt;/ul&gt;Some of our angels and advisors include Russell Kaplan (Cognition), Thomas Wolf (Hugging Face), Jonathan Frankle (Databricks), and Mike Krieger (Anthropic).&lt;br&gt;&lt;br&gt;Check out some of our existing blog posts on AI:&lt;br&gt;&lt;br&gt;&lt;ul&gt;&lt;li&gt;The State of Secure Coding Benchmarks: BaxBench&lt;/li&gt;&lt;li&gt;The State of Secure Coding Benchmarks: SecCodeBench&lt;/li&gt;&lt;/ul&gt;</x:v>
      </x:c>
      <x:c r="AB54" s="68" t="str">
        <x:v>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x:v>
      </x:c>
      <x:c r="AC54" s="68" t="str">
        <x:v>Not Applicable</x:v>
      </x:c>
      <x:c r="AD54" s="68" t="str">
        <x:v>Full-time</x:v>
      </x:c>
      <x:c r="AE54" s="68" t="str">
        <x:v>Engineering and Information Technology</x:v>
      </x:c>
      <x:c r="AF54" s="68" t="str">
        <x:v>Software Development</x:v>
      </x:c>
      <x:c r="AG54" s="68" t="str">
        <x:v>https://www.linkedin.com/jobs/search/?position=1&amp;pageNum=0&amp;keywords=AI+Engineer&amp;location=United+States&amp;distance=0&amp;f_TPR=r604800</x:v>
      </x:c>
      <x:c r="AH54" s="68" t="str">
        <x:v>{'type': 'PostalAddress', 'addressLocality': 'San Francisco', 'addressRegion': 'California', 'addressCountry': 'US'}</x:v>
      </x:c>
      <x:c r="AI54" s="68" t="str">
        <x:v>https://corridor.dev/</x:v>
      </x:c>
      <x:c r="AJ54" s="68" t="str">
        <x:v>Secure AI Coding at the Source</x:v>
      </x:c>
      <x:c r="AK54" s="68"/>
      <x:c r="AL54" s="68"/>
      <x:c r="AM54" s="68"/>
      <x:c r="AN54" s="68"/>
      <x:c r="AO54" s="68"/>
      <x:c r="AP54" s="68"/>
    </x:row>
    <x:row r="55" s="25" customFormat="1" ht="22" customHeight="1">
      <x:c r="A55" s="68" t="str">
        <x:v>4449102440</x:v>
      </x:c>
      <x:c r="B55" s="68" t="str">
        <x:v>AI Developer</x:v>
      </x:c>
      <x:c r="C55" s="68" t="str">
        <x:v>Tryco Electric LLC</x:v>
      </x:c>
      <x:c r="D55" s="68" t="str">
        <x:v>Marana, AZ</x:v>
      </x:c>
      <x:c r="E55" s="68" t="str">
        <x:v>Applied</x:v>
      </x:c>
      <x:c r="F55" s="68"/>
      <x:c r="G55" s="69"/>
      <x:c r="H55" s="85" t="str">
        <x:v>2026-08-05</x:v>
      </x:c>
      <x:c r="I55" s="85"/>
      <x:c r="J55" s="68" t="str">
        <x:v>73</x:v>
      </x:c>
      <x:c r="K55" s="70"/>
      <x:c r="L55" s="86"/>
      <x:c r="M55" s="87"/>
      <x:c r="N55" s="71"/>
      <x:c r="O55" s="88"/>
      <x:c r="P55" s="89"/>
      <x:c r="Q55" s="89"/>
      <x:c r="R55" s="89"/>
      <x:c r="S55" s="73"/>
      <x:c r="T55" s="68"/>
      <x:c r="U55" s="68" t="str">
        <x:v>https://www.linkedin.com/jobs/view/ai-developer-at-tryco-electric-llc-4449102440?position=34&amp;pageNum=0&amp;refId=s48tP56EQnHdC6rkSZpaEg%3D%3D&amp;trackingId=MQOTa2TmuJ5iBbp2rSilsA%3D%3D</x:v>
      </x:c>
      <x:c r="V55" s="68" t="str">
        <x:v>MQOTa2TmuJ5iBbp2rSilsA==</x:v>
      </x:c>
      <x:c r="W55" s="68" t="str">
        <x:v>s48tP56EQnHdC6rkSZpaEg==</x:v>
      </x:c>
      <x:c r="X55" s="68" t="str">
        <x:v>https://www.linkedin.com/company/tryco-electric-llc?trk=public_jobs_jserp-result_job-search-card-subtitle</x:v>
      </x:c>
      <x:c r="Y55" s="68" t="str">
        <x:v>https://static.licdn.com/aero-v1/sc/h/6puxblwmhnodu6fjircz4dn4h</x:v>
      </x:c>
      <x:c r="Z55" s="68"/>
      <x:c r="AA55" s="68" t="str">
        <x:v>Privacy Policy&lt;br&gt;&lt;br&gt;Job Openings&lt;br&gt;&lt;br&gt;AI Developer&lt;br&gt;&lt;br&gt;Business Intelligence - Marana, Arizona&lt;br&gt;&lt;br&gt;Department&lt;br&gt;&lt;br&gt;Business Intelligence&lt;br&gt;&lt;br&gt;Employment Type&lt;br&gt;&lt;br&gt;Full-Time&lt;br&gt;&lt;br&gt;&lt;strong&gt;Minimum Experience&lt;br&gt;&lt;br&gt;&lt;/strong&gt;Mid-level&lt;br&gt;&lt;br&gt;&lt;strong&gt;Compensation&lt;br&gt;&lt;br&gt;&lt;/strong&gt;$111,500 - $130,000 DOE&lt;br&gt;&lt;br&gt;Join Our Team as a AI Developer at Trico Electric Cooperative!&lt;br&gt;&lt;br&gt;Posting Period: Tuesday, July 21 - Until Filled&lt;br&gt;&lt;br&gt;Annual Salary: $111,500 - $130,000 DOE&lt;br&gt;&lt;br&gt;Cooperative Expectations&lt;br&gt;&lt;br&gt;We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another.&lt;br&gt;&lt;br&gt;&lt;strong&gt;What You Will Do:&lt;br&gt;&lt;br&gt;&lt;/strong&gt;This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initiatives.&lt;br&gt;&lt;br&gt;The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Cooperative.&lt;br&gt;&lt;br&gt;Key duties and expectations include, but are not limited to, the following:&lt;br&gt;&lt;br&gt;&lt;ul&gt;&lt;li&gt;Designs, develops, and implements AI-powered software that solves real business problems.&lt;/li&gt;&lt;li&gt;Design, develop, and maintain scalable backend systems to support data warehousing and data lake initiatives.&lt;/li&gt;&lt;li&gt;Develop and implement integration solutions for seamless data exchange between systems, applications, and platforms.&lt;/li&gt;&lt;li&gt;Incorporates machine learning (including large language models/LLMs) into scalable applications, owns data/model pipelines end-to-end, and partners with product, security, and platform teams to deliver measurable outcomes in production.&lt;/li&gt;&lt;li&gt;Leads AI development from discovery through deployment, translating business needs into clear technical specifications and milestones.&lt;/li&gt;&lt;li&gt;Designs, trains, fine-tunes, and evaluates AI models (e.g. transformers/LLMs, NLP, CV, anomaly detection, recommendations).&lt;/li&gt;&lt;li&gt;Builds production-grade services and APIs that expose AI capabilities, including versioning, contracts, and usage analytics.&lt;/li&gt;&lt;li&gt;Develops reliable data workflows (ingestion, validation, feature computation, labeling, lineage) and enforces data quality and observability.&lt;/li&gt;&lt;li&gt;Integrates AI systems with enterprise platforms.&lt;/li&gt;&lt;li&gt;Documents architectures, datasets, experiments, and models to ensure reproducibility and maintainability.&lt;/li&gt;&lt;li&gt;Upholds responsible-AI standards, including privacy, security, explainability, and compliance with applicable frameworks.&lt;/li&gt;&lt;li&gt;Document technical designs, processes, and standards for the team and stakeholders.&lt;/li&gt;&lt;li&gt;Perform other related duties as assigned to support departmental and organizational goals.&lt;br&gt;&lt;br&gt;&lt;/li&gt;&lt;/ul&gt;&lt;strong&gt;What You Bring To Trico:&lt;br&gt;&lt;br&gt;&lt;/strong&gt;&lt;ul&gt;&lt;li&gt;Bachelor’s degree in Information Technology, Computer Science, Data Science, Engineering, or a related field required.&lt;/li&gt;&lt;li&gt;5+ years of related experience in IT App Support, IT Development, IT Networking, or similar field.&lt;/li&gt;&lt;li&gt;Certifications in cloud platforms (AWS Certified Data Analytics, Azure Data Engineer, etc.) is preferred.&lt;/li&gt;&lt;li&gt;Knowledge of data visualization tools (e.g., Tableau, Power BI) for supporting downstream analytics.&lt;/li&gt;&lt;li&gt;Familiarity with DevOps practices and tools.&lt;/li&gt;&lt;li&gt;Advanced knowledge of Intelligent Automation concepts including Robotics Process Automation (RPA), automated workflows is preferred.&lt;/li&gt;&lt;li&gt;Advanced knowledge of Generative AI (e.g., OpenAI, Azure OpenAI, etc.) and Agentic AI concepts and development practices is preferred.&lt;/li&gt;&lt;li&gt;Knowledge and experience in multiple software development languages (i.e. Java, Javascript, C#, C++, Python, etc)&lt;/li&gt;&lt;li&gt;Strong technical aptitude with excellent proficiency in the use of Microsoft Office Solutions (Word, Excel, Outlook).&lt;br&gt;&lt;br&gt;&lt;/li&gt;&lt;/ul&gt;Why work at Trico&lt;br&gt;&lt;br&gt;Trico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Integrity.&lt;br&gt;&lt;br&gt;What We Offer&lt;br&gt;&lt;br&gt;Trico’s success is rooted in our employees’ talent, well-being, health, and safety. As an electric cooperative and utility, our role in the community is vital, and we recognize the value of a high-achieving and diverse workforce to serve our Members.&lt;br&gt;&lt;br&gt;We Offer a Comprehensive Benefits Package To Meet The Needs Of Our Employees And Their Families And Enhance Their Well-being. In Addition To Competitive Pay, Eligible Employees Can Take Advantage Of The Following Benefits:&lt;br&gt;&lt;br&gt;&lt;ul&gt;&lt;li&gt;Pension Plan (at no cost to the employee)&lt;/li&gt;&lt;li&gt;401(k) plan with employer matching&lt;/li&gt;&lt;li&gt;Medical, vision, dental, and life insurance&lt;/li&gt;&lt;li&gt;MTO/Catastrophic Leave&lt;/li&gt;&lt;li&gt;Holiday pay&lt;/li&gt;&lt;li&gt;Wellness programs (including access to a recreation and fitness facility)&lt;/li&gt;&lt;li&gt;Tuition assistance for both undergraduate and graduate programs&lt;br&gt;&lt;br&gt;&lt;/li&gt;&lt;/ul&gt;Equal Opportunity Employer Statement&lt;br&gt;&lt;br&gt;Trico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law.&lt;br&gt;&lt;br&gt;Drug/Alcohol Policy Statement&lt;br&gt;&lt;br&gt;To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process.&lt;br&gt;&lt;br&gt;Work Authorization&lt;br&gt;&lt;br&gt;All candidates must be legally authorized to work in the United States without sponsorship. Trico does not sponsor employment-related visas.&lt;br&gt;&lt;br&gt;Link to This Job&lt;br&gt;&lt;br&gt;Location&lt;br&gt;&lt;br&gt;Marana, Arizona&lt;br&gt;&lt;br&gt;Department&lt;br&gt;&lt;br&gt;Business Intelligence&lt;br&gt;&lt;br&gt;Employment Type&lt;br&gt;&lt;br&gt;Full-Time&lt;br&gt;&lt;br&gt;&lt;strong&gt;Compensation&lt;br&gt;&lt;br&gt;&lt;/strong&gt;$111,500 - $130,000 DOE&lt;br&gt;&lt;br&gt;Privacy Policy&lt;br&gt;&lt;br&gt;&lt;ul&gt;&lt;li&gt; Terms of Service&lt;br&gt;&lt;br&gt;&lt;/li&gt;&lt;/ul&gt;© BambooHR All rights reserved.&lt;br&gt;&lt;br&gt;Business Intelligence - Marana, Arizona</x:v>
      </x:c>
      <x:c r="AB55" s="68" t="str">
        <x:v>Privacy Policy
Job Openings
AI Developer
Business Intelligence - Marana, Arizona
Department
Business Intelligence
Employment Type
Full-Time
Minimum Experience
Mid-level
Compensation
$111,500 - $130,000 DOE
Join Our Team as a AI Developer at Trico Electric Cooperative!
Posting Period: Tuesday, July 21 - Until Filled
Annual Salary: $111,500 - $130,000 DOE
Cooperative Expectations
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
What You Will Do:
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
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
Key duties and expectations include, but are not limited to, the following:
- Designs, develops, and implements AI-powered software that solves real business problems.
- Design, develop, and maintain scalable backend systems to support data warehousing and data lake initiatives.
- Develop and implement integration solutions for seamless data exchange between systems, applications, and platforms.
- Incorporates machine learning (including large language models/LLMs) into scalable applications, owns data/model pipelines end-to-end, and partners with product, security, and platform teams to deliver measurable outcomes in production.
- Leads AI development from discovery through deployment, translating business needs into clear technical specifications and milestones.
- Designs, trains, fine-tunes, and evaluates AI models (e.g. transformers/LLMs, NLP, CV, anomaly detection, recommendations).
- Builds production-grade services and APIs that expose AI capabilities, including versioning, contracts, and usage analytics.
- Develops reliable data workflows (ingestion, validation, feature computation, labeling, lineage) and enforces data quality and observability.
- Integrates AI systems with enterprise platforms.
- Documents architectures, datasets, experiments, and models to ensure reproducibility and maintainability.
- Upholds responsible-AI standards, including privacy, security, explainability, and compliance with applicable frameworks.
- Document technical designs, processes, and standards for the team and stakeholders.
- Perform other related duties as assigned to support departmental and organizational goals.
What You Bring To Trico:
- Bachelor’s degree in Information Technology, Computer Science, Data Science, Engineering, or a related field required.
- 5+ years of related experience in IT App Support, IT Development, IT Networking, or similar field.
- Certifications in cloud platforms (AWS Certified Data Analytics, Azure Data Engineer, etc.) is preferred.
- Knowledge of data visualization tools (e.g., Tableau, Power BI) for supporting downstream analytics.
- Familiarity with DevOps practices and tools.
- Advanced knowledge of Intelligent Automation concepts including Robotics Process Automation (RPA), automated workflows is preferred.
- Advanced knowledge of Generative AI (e.g., OpenAI, Azure OpenAI, etc.) and Agentic AI concepts and development practices is preferred.
- Knowledge and experience in multiple software development languages (i.e. Java, Javascript, C#, C++, Python, etc)
- Strong technical aptitude with excellent proficiency in the use of Microsoft Office Solutions (Word, Excel, Outlook).
Why work at Trico
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
What We Offer
Trico’s success is rooted in our employees’ talent, well-being, health, and safety. As an electric cooperative and utility, our role in the community is vital, and we recognize the value of a high-achieving and diverse workforce to serve our Members.
We Offer a Comprehensive Benefits Package To Meet The Needs Of Our Employees And Their Families And Enhance Their Well-being. In Addition To Competitive Pay, Eligible Employees Can Take Advantage Of The Following Benefits:
- Pension Plan (at no cost to the employee)
- 401(k) plan with employer matching
- Medical, vision, dental, and life insurance
- MTO/Catastrophic Leave
- Holiday pay
- Wellness programs (including access to a recreation and fitness facility)
- Tuition assistance for both undergraduate and graduate programs
Equal Opportunity Employer Statement
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Drug/Alcohol Policy Statement
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Work Authorization
All candidates must be legally authorized to work in the United States without sponsorship. Trico does not sponsor employment-related visas.
Link to This Job
Location
Marana, Arizona
Department
Business Intelligence
Employment Type
Full-Time
Compensation
$111,500 - $130,000 DOE
Privacy Policy
-  Terms of Service
© BambooHR All rights reserved.
Business Intelligence - Marana, Arizona</x:v>
      </x:c>
      <x:c r="AC55" s="68" t="str">
        <x:v>Not Applicable</x:v>
      </x:c>
      <x:c r="AD55" s="68" t="str">
        <x:v>Full-time</x:v>
      </x:c>
      <x:c r="AE55" s="68" t="str">
        <x:v>Engineering and Information Technology</x:v>
      </x:c>
      <x:c r="AF55" s="68" t="str">
        <x:v>Biotechnology Research</x:v>
      </x:c>
      <x:c r="AG55" s="68" t="str">
        <x:v>https://www.linkedin.com/jobs/search/?position=1&amp;pageNum=0&amp;keywords=AI+Engineer&amp;location=United+States&amp;distance=0&amp;f_TPR=r604800</x:v>
      </x:c>
      <x:c r="AH55" s="68" t="str">
        <x:v>{'type': 'PostalAddress', 'streetAddress': '8600 W Tangerine Rd', 'addressLocality': 'Marana', 'addressRegion': 'AZ', 'postalCode': '85658', 'addressCountry': 'US'}</x:v>
      </x:c>
      <x:c r="AI55" s="68" t="str">
        <x:v>http://www.trico.coop/</x:v>
      </x:c>
      <x:c r="AJ55" s="68"/>
      <x:c r="AK55" s="68"/>
      <x:c r="AL55" s="68"/>
      <x:c r="AM55" s="68"/>
      <x:c r="AN55" s="68"/>
      <x:c r="AO55" s="68"/>
      <x:c r="AP55" s="68"/>
    </x:row>
    <x:row r="56" s="25" customFormat="1" ht="22" customHeight="1">
      <x:c r="A56" s="68" t="str">
        <x:v>4446682561</x:v>
      </x:c>
      <x:c r="B56" s="68" t="str">
        <x:v>AI/Machine Learning Engineer</x:v>
      </x:c>
      <x:c r="C56" s="68" t="str">
        <x:v>Veritone</x:v>
      </x:c>
      <x:c r="D56" s="68" t="str">
        <x:v>Irvine, CA</x:v>
      </x:c>
      <x:c r="E56" s="68" t="str">
        <x:v>Applied</x:v>
      </x:c>
      <x:c r="F56" s="68"/>
      <x:c r="G56" s="69"/>
      <x:c r="H56" s="85" t="str">
        <x:v>2026-08-04</x:v>
      </x:c>
      <x:c r="I56" s="85"/>
      <x:c r="J56" s="68" t="str">
        <x:v>200</x:v>
      </x:c>
      <x:c r="K56" s="70"/>
      <x:c r="L56" s="86"/>
      <x:c r="M56" s="87"/>
      <x:c r="N56" s="71"/>
      <x:c r="O56" s="88"/>
      <x:c r="P56" s="89"/>
      <x:c r="Q56" s="89"/>
      <x:c r="R56" s="89"/>
      <x:c r="S56" s="73"/>
      <x:c r="T56" s="68"/>
      <x:c r="U56" s="68" t="str">
        <x:v>https://www.linkedin.com/jobs/view/ai-machine-learning-engineer-at-veritone-4446682561?position=27&amp;pageNum=0&amp;refId=s48tP56EQnHdC6rkSZpaEg%3D%3D&amp;trackingId=5ySN8vNUIEF8BMFvUbh8Bw%3D%3D</x:v>
      </x:c>
      <x:c r="V56" s="68" t="str">
        <x:v>5ySN8vNUIEF8BMFvUbh8Bw==</x:v>
      </x:c>
      <x:c r="W56" s="68" t="str">
        <x:v>s48tP56EQnHdC6rkSZpaEg==</x:v>
      </x:c>
      <x:c r="X56" s="68" t="str">
        <x:v>https://www.linkedin.com/company/veritone-inc-?trk=public_jobs_jserp-result_job-search-card-subtitle</x:v>
      </x:c>
      <x:c r="Y56" s="68" t="str">
        <x:v>https://media.licdn.com/dms/image/v2/D560BAQGxFuYkhmYgFA/company-logo_100_100/company-logo_100_100/0/1713170701711?e=2147483647&amp;v=beta&amp;t=a5F9xo4_ANT3B2b3YtTYe8i-fjR_tt6D4KdNDZdGaLw</x:v>
      </x:c>
      <x:c r="Z56" s="68"/>
      <x:c r="AA56" s="68" t="str">
        <x:v>&lt;strong&gt;Position Summary&lt;br&gt;&lt;br&gt;&lt;/strong&gt;The AI/ML Engineer will participate in building, documenting, and refactoring production-grade AI/ML pipelines, model integration layers, and scalable features that grow with business needs.&lt;br&gt;&lt;br&gt;‎&lt;br&gt;&lt;br&gt;&lt;strong&gt;What You'll Do&lt;br&gt;&lt;br&gt;&lt;/strong&gt;&lt;strong&gt;Process&lt;br&gt;&lt;br&gt;&lt;/strong&gt;&lt;ul&gt;&lt;li&gt;You identify and analyze areas in existing code, model inference workflows, and data pipelines for optimization, efficiency, and latency improvements.&lt;br&gt;&lt;br&gt;&lt;/li&gt;&lt;/ul&gt;&lt;strong&gt;Team&lt;br&gt;&lt;br&gt;&lt;/strong&gt;&lt;ul&gt;&lt;li&gt;You partner with product, design, data, and infrastructure teams to integrate AI/ML capabilities and intelligent services into application workflows.&lt;/li&gt;&lt;li&gt;You participate in on-call support rotation for production ML services, if necessary.&lt;/li&gt;&lt;li&gt;You actively participate in team meetings: sharing knowledge on emerging AI trends, asking questions, and challenging assumptions.&lt;/li&gt;&lt;li&gt;You actively help your team meet their commitments.&lt;/li&gt;&lt;li&gt;You are open to constructive feedback from teammates and management.&lt;br&gt;&lt;br&gt;&lt;/li&gt;&lt;/ul&gt;&lt;strong&gt;Personal&lt;br&gt;&lt;br&gt;&lt;/strong&gt;&lt;ul&gt;&lt;li&gt;You continuously improve your technical skills and stay current with rapid developments in the AI/ML landscape.&lt;/li&gt;&lt;li&gt;Proven track record of writing maintainable code, including unit/integration tests, evaluation benchmarks, and readable code.&lt;/li&gt;&lt;li&gt;Expertise with learning new frameworks, algorithms, and technical stacks quickly.&lt;/li&gt;&lt;li&gt;Familiarity with our tech stack:&lt;/li&gt;&lt;ul&gt;&lt;li&gt;AI/ML &amp;amp; Data: Python, PyTorch / TensorFlow, Hugging Face, LangChain / LlamaIndex, Vector DBs (e.g., Pinecone, Qdrant, pgvector)&lt;/li&gt;&lt;li&gt;MLOps &amp;amp; Infrastructure: Docker, Kubernetes, MLflow / Weights &amp;amp; Biases, Cloud ML Platforms (AWS SageMaker, GCP Vertex AI, etc.)&lt;/li&gt;&lt;li&gt;Backend &amp;amp; API: Python, Go, Node.js, GraphQL, ElasticSearch, and Postgres&lt;br&gt;&lt;/li&gt;&lt;/ul&gt;&lt;/ul&gt;‎&lt;br&gt;&lt;br&gt;&lt;strong&gt;What You'll Need&lt;br&gt;&lt;br&gt;&lt;/strong&gt;&lt;ul&gt;&lt;li&gt;At least 3 years of professional experience building and deploying software systems, with direct experience integrating, fine-tuning, or operating AI/ML models in production environments.&lt;/li&gt;&lt;li&gt;Deep proficiency with Python and standard ML libraries (e.g., PyTorch, NumPy, Pandas, Scikit-learn, Hugging Face).&lt;/li&gt;&lt;li&gt;Hands-on experience with LLMs, RAG architectures, prompt engineering, or traditional ML model pipelines and inference serving.&lt;/li&gt;&lt;li&gt;Ability to design and implement robust APIs and backend microservices in Python (bonus if experienced with Go or Node.js).&lt;/li&gt;&lt;li&gt;Professional experience working with RDBMSs, NoSQL DBs, and Vector Databases.&lt;/li&gt;&lt;li&gt;Demonstrated participation in the successful deployment, monitoring, and scaling of machine learning workloads and production code.&lt;br&gt;&lt;br&gt;&lt;/li&gt;&lt;/ul&gt;&lt;strong&gt;&lt;strong&gt;DISCLOSURE&lt;br&gt;&lt;br&gt;&lt;/strong&gt;&lt;/strong&gt;Our company provides equal employment opportunities (EEO) to all employees and applicants for employment without regard to race, color, religion, sex, national origin, age, disability or genetics.&lt;br&gt;&lt;br&gt;(Colorado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benefits.&lt;br&gt;&lt;br&gt;&lt;ul&gt;&lt;li&gt;Note: Disclosure as required by sb19-085 (8-5-20) of the minimum salary compensation for this role when being hired in Colorado &amp;amp; California.&lt;br&gt;&lt;br&gt;&lt;/li&gt;&lt;/ul&gt;‎</x:v>
      </x:c>
      <x:c r="AB56" s="68" t="str">
        <x:v>Position Summary
The AI/ML Engineer will participate in building, documenting, and refactoring production-grade AI/ML pipelines, model integration layers, and scalable features that grow with business needs.
‎
What You'll Do
Process
- You identify and analyze areas in existing code, model inference workflows, and data pipelines for optimization, efficiency, and latency improvements.
Team
- You partner with product, design, data, and infrastructure teams to integrate AI/ML capabilities and intelligent services into application workflows.
- You participate in on-call support rotation for production ML services, if necessary.
- You actively participate in team meetings: sharing knowledge on emerging AI trends, asking questions, and challenging assumptions.
- You actively help your team meet their commitments.
- You are open to constructive feedback from teammates and management.
Personal
- You continuously improve your technical skills and stay current with rapid developments in the AI/ML landscape.
- Proven track record of writing maintainable code, including unit/integration tests, evaluation benchmarks, and readable code.
- Expertise with learning new frameworks, algorithms, and technical stacks quickly.
- Familiarity with our tech stack:
- AI/ML &amp;amp; Data: Python, PyTorch / TensorFlow, Hugging Face, LangChain / LlamaIndex, Vector DBs (e.g., Pinecone, Qdrant, pgvector)
- MLOps &amp;amp; Infrastructure: Docker, Kubernetes, MLflow / Weights &amp;amp; Biases, Cloud ML Platforms (AWS SageMaker, GCP Vertex AI, etc.)
- Backend &amp;amp; API: Python, Go, Node.js, GraphQL, ElasticSearch, and Postgres
‎
What You'll Need
- At least 3 years of professional experience building and deploying software systems, with direct experience integrating, fine-tuning, or operating AI/ML models in production environments.
- Deep proficiency with Python and standard ML libraries (e.g., PyTorch, NumPy, Pandas, Scikit-learn, Hugging Face).
- Hands-on experience with LLMs, RAG architectures, prompt engineering, or traditional ML model pipelines and inference serving.
- Ability to design and implement robust APIs and backend microservices in Python (bonus if experienced with Go or Node.js).
- Professional experience working with RDBMSs, NoSQL DBs, and Vector Databases.
- Demonstrated participation in the successful deployment, monitoring, and scaling of machine learning workloads and production code.
DISCLOSURE
Our company provides equal employment opportunities (EEO) to all employees and applicants for employment without regard to race, color, religion, sex, national origin, age, disability or genetics.
(Colorado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&amp;amp; California.
‎</x:v>
      </x:c>
      <x:c r="AC56" s="68" t="str">
        <x:v>Not Applicable</x:v>
      </x:c>
      <x:c r="AD56" s="68" t="str">
        <x:v>Full-time</x:v>
      </x:c>
      <x:c r="AE56" s="68" t="str">
        <x:v>Engineering and Information Technology</x:v>
      </x:c>
      <x:c r="AF56" s="68" t="str">
        <x:v>Software Development</x:v>
      </x:c>
      <x:c r="AG56" s="68" t="str">
        <x:v>https://www.linkedin.com/jobs/search/?position=1&amp;pageNum=0&amp;keywords=AI+Engineer&amp;location=United+States&amp;distance=0&amp;f_TPR=r604800</x:v>
      </x:c>
      <x:c r="AH56" s="68" t="str">
        <x:v>{'type': 'PostalAddress', 'streetAddress': '1615 Platte St | 2nd floor', 'addressLocality': 'Denver', 'addressRegion': 'Colorado', 'postalCode': '80202', 'addressCountry': 'US'}</x:v>
      </x:c>
      <x:c r="AI56" s="68" t="str">
        <x:v>http://www.veritone.com</x:v>
      </x:c>
      <x:c r="AJ56" s="68"/>
      <x:c r="AK56" s="68"/>
      <x:c r="AL56" s="68"/>
      <x:c r="AM56" s="68"/>
      <x:c r="AN56" s="68"/>
      <x:c r="AO56" s="68"/>
      <x:c r="AP56" s="68"/>
    </x:row>
    <x:row r="57" s="25" customFormat="1" ht="22" customHeight="1">
      <x:c r="A57" s="68" t="str">
        <x:v>4419220086</x:v>
      </x:c>
      <x:c r="B57" s="68" t="str">
        <x:v>Agentic AI Engineer</x:v>
      </x:c>
      <x:c r="C57" s="68" t="str">
        <x:v>Fervo Energy</x:v>
      </x:c>
      <x:c r="D57" s="68" t="str">
        <x:v>Houston, TX</x:v>
      </x:c>
      <x:c r="E57" s="68" t="str">
        <x:v>Failed</x:v>
      </x:c>
      <x:c r="F57" s="68"/>
      <x:c r="G57" s="69"/>
      <x:c r="H57" s="85" t="str">
        <x:v>2026-08-05</x:v>
      </x:c>
      <x:c r="I57" s="85"/>
      <x:c r="J57" s="68" t="str">
        <x:v>200</x:v>
      </x:c>
      <x:c r="K57" s="70"/>
      <x:c r="L57" s="86"/>
      <x:c r="M57" s="87"/>
      <x:c r="N57" s="71"/>
      <x:c r="O57" s="88"/>
      <x:c r="P57" s="89"/>
      <x:c r="Q57" s="89"/>
      <x:c r="R57" s="89"/>
      <x:c r="S57" s="73"/>
      <x:c r="T57" s="68"/>
      <x:c r="U57" s="68" t="str">
        <x:v>https://www.linkedin.com/jobs/view/agentic-ai-engineer-at-fervo-energy-4419220086?position=31&amp;pageNum=0&amp;refId=s48tP56EQnHdC6rkSZpaEg%3D%3D&amp;trackingId=vsptPDC1M%2FEAJrsc9AI71g%3D%3D</x:v>
      </x:c>
      <x:c r="V57" s="68" t="str">
        <x:v>vsptPDC1M/EAJrsc9AI71g==</x:v>
      </x:c>
      <x:c r="W57" s="68" t="str">
        <x:v>s48tP56EQnHdC6rkSZpaEg==</x:v>
      </x:c>
      <x:c r="X57" s="68" t="str">
        <x:v>https://www.linkedin.com/company/fervo-energy?trk=public_jobs_jserp-result_job-search-card-subtitle</x:v>
      </x:c>
      <x:c r="Y57" s="68" t="str">
        <x:v>https://media.licdn.com/dms/image/v2/D4D0BAQFNAIrSW28rEQ/company-logo_100_100/company-logo_100_100/0/1697123621727/fervo_energy_logo?e=2147483647&amp;v=beta&amp;t=5nDSEQvpDBJqh1uW5J1P6zZj5Gq6RYvO9AKIIowbz-g</x:v>
      </x:c>
      <x:c r="Z57" s="68"/>
      <x:c r="AA57" s="68" t="str">
        <x:v>Job Type&lt;br&gt;&lt;br&gt;Full-time&lt;br&gt;&lt;br&gt;&lt;strong&gt;Description&lt;br&gt;&lt;br&gt;&lt;/strong&gt;Fervo is building the most cost-effective, repeatable geothermal power plants in the world. Scaling that mission requires AI-native capabilities that drive measurable impact across drilling, completions, production, geophysics, and power plant operations. The &lt;strong&gt;Agentic AI Engineer&lt;/strong&gt;, within the Data &amp;amp; AI team, designs and ships agentic workflows that turn unstructured knowledge and structured operational data into autonomous capabilities for engineers, operators, and decision-makers in the field.&lt;br&gt;&lt;br&gt;The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defer.&lt;br&gt;&lt;br&gt;&lt;strong&gt;Requirements&lt;br&gt;&lt;br&gt;&lt;/strong&gt;&lt;em&gt;&lt;strong&gt;Responsibilities&lt;br&gt;&lt;br&gt;&lt;/strong&gt;&lt;/em&gt;&lt;strong&gt;Agentic Workflow Design &amp;amp; Delivery&lt;br&gt;&lt;br&gt;&lt;/strong&gt;&lt;ul&gt;&lt;li&gt;Design and deploy end-to-end agentic AI workflows using planner–worker, orchestrator–executor, multi-agent, and RAG-based architectures&lt;/li&gt;&lt;li&gt;Build reusable components and reference patterns for tool routing, state management, error handling, and human-in-the-loop checkpoints&lt;/li&gt;&lt;li&gt;Implement robust retrieval pipelines (hybrid search, vector + keyword, graph-aware retrieval) over technical documents, historian data, and operational records&lt;/li&gt;&lt;li&gt;Translate domain problems from drilling, completions, production, geophysics, and power plant operations into well-scoped agentic use cases with clear success metrics&lt;br&gt;&lt;br&gt;&lt;/li&gt;&lt;/ul&gt;&lt;strong&gt;Semantic Grounding &amp;amp; Knowledge Integration&lt;br&gt;&lt;br&gt;&lt;/strong&gt;&lt;ul&gt;&lt;li&gt;Build and maintain a semantic layer over our data lake and warehouse using Snowflake Semantic Views and Databricks Unity Catalog Metric Views, making business concepts queryable by both humans and agents&lt;/li&gt;&lt;li&gt;Develop and curate knowledge graphs that connect domain entities (wells, pads, assets, equipment, events, documents) and serve as grounding context for LLM reasoning&lt;/li&gt;&lt;li&gt;Standardize how agents access enterprise data through Model Context Protocol (MCP) servers and equivalent integration patterns&lt;br&gt;&lt;br&gt;&lt;/li&gt;&lt;/ul&gt;&lt;strong&gt;Evaluation, Observability &amp;amp; Production Operations&lt;br&gt;&lt;br&gt;&lt;/strong&gt;&lt;ul&gt;&lt;li&gt;Establish agent evaluation frameworks including golden datasets, automated regression tests, and structured evals for accuracy, faithfulness, and tool-use correctness&lt;/li&gt;&lt;li&gt;Implement tracing, logging, and observability across agent runs to support debugging, cost monitoring, and continuous improvement&lt;/li&gt;&lt;li&gt;Build feedback loops that capture user input and convert it into eval cases and prompt/system improvements&lt;/li&gt;&lt;li&gt;Support production incidents and platform-level issues impacting deployed agents&lt;br&gt;&lt;br&gt;&lt;/li&gt;&lt;/ul&gt;&lt;strong&gt;Deployment &amp;amp; Enablement&lt;br&gt;&lt;br&gt;&lt;/strong&gt;&lt;ul&gt;&lt;li&gt;Deploy agents as production services on our Azure-native stack (App Service, Container Apps, Functions) with Entra ID SSO, Key Vault-managed secrets, and proper cost controls&lt;/li&gt;&lt;li&gt;Build lightweight UIs (Streamlit, Gradio, or React) for agentic applications and internal tools&lt;/li&gt;&lt;li&gt;Lead design reviews and cross-functional enablement sessions on agentic AI patterns and best practices&lt;br&gt;&lt;br&gt;&lt;/li&gt;&lt;/ul&gt;&lt;strong&gt;Qualifications&lt;br&gt;&lt;br&gt;&lt;/strong&gt;&lt;strong&gt;Required&lt;br&gt;&lt;br&gt;&lt;/strong&gt;&lt;ul&gt;&lt;li&gt;Bachelor's or Master's degree in Computer Engineering or Data Science preferred. &lt;/li&gt;&lt;li&gt;2+ years of hands-on experience building and deploying agentic AI or LLM-powered applications in production, not just prototypes or notebooks&lt;/li&gt;&lt;li&gt;Strong Python skills, including async patterns, API design with FastAPI, and writing testable, maintainable production code&lt;/li&gt;&lt;li&gt;Demonstrated experience with at least one major agent framework: LangChain/LangGraph, LlamaIndex, AutoGen, or Semantic Kernel&lt;/li&gt;&lt;li&gt;Working knowledge of LLM APIs and SDKs (Anthropic Claude, OpenAI, Azure OpenAI), including tool use/function calling, structured outputs, streaming, and prompt engineering&lt;/li&gt;&lt;li&gt;Experience implementing RAG architectures with vector databases (Azure AI Search, pgvector, Pinecone, Weaviate, Chroma, or similar) and embedding models&lt;/li&gt;&lt;li&gt;Experience with agent orchestration patterns including multi-step planning, tool routing, state management, and graceful failure handling&lt;/li&gt;&lt;li&gt;Familiarity with Model Context Protocol (MCP) or equivalent standards for tool and context integration&lt;/li&gt;&lt;li&gt;Cloud deployment experience on Azure (App Service, Container Apps, Functions, Key Vault, Entra ID), or equivalent in AWS/GCP with willingness to work in our Azure-first environment&lt;/li&gt;&lt;li&gt;Strong Git and CI/CD experience, including version control discipline, code review, and automated testing&lt;/li&gt;&lt;li&gt;Experience with containerization (Docker) and infrastructure-as-code (Terraform preferred)&lt;/li&gt;&lt;li&gt;Strong observability and production operations skills, including structured logging, tracing, cost monitoring, and runbook development&lt;br&gt;&lt;br&gt;&lt;/li&gt;&lt;/ul&gt;&lt;strong&gt;Preferred&lt;br&gt;&lt;br&gt;&lt;/strong&gt;&lt;ul&gt;&lt;li&gt;Experience designing or working with semantic models and semantic layers — Snowflake Semantic Views, Databricks Metric Views, dbt Semantic Layer, Cube, or Power BI semantic models&lt;/li&gt;&lt;li&gt;Hands-on experience with knowledge graphs: graph databases (Neo4j, Azure Cosmos DB Gremlin), RDF/SPARQL, ontology design, or graph-augmented RAG&lt;/li&gt;&lt;li&gt;Experience with agent evaluation tooling such as LangSmith&lt;/li&gt;&lt;li&gt;Experience with our broader data stack: Databricks, Snowflake, Azure Data Lake Storage (ADLS), Azure Data Factory&lt;/li&gt;&lt;li&gt;Oil and gas or energy industry experience, including familiarity with drilling, completions, production, geophysics, or industrial historian data&lt;/li&gt;&lt;li&gt;Background in time-series data, signal processing, or industrial IoT (MQTT, OPC UA, SparkplugB)&lt;br&gt;&lt;br&gt;&lt;/li&gt;&lt;/ul&gt;Experience with multimodal models for handling well logs, schematics, or scanned reports&lt;br&gt;&lt;br&gt;&lt;em&gt;&lt;strong&gt;Location&lt;br&gt;&lt;br&gt;&lt;/strong&gt;&lt;/em&gt;Fervo Energy is headquartered in Houston, TX, with growing offices in Golden, CO, Reno, NV, and Oakland, CA, and Salt Lake City, UT. This position will be eligible for some hybrid work flexibility, but regular in-office presence at the &lt;strong&gt;Golden &lt;/strong&gt;or &lt;strong&gt;Houston &lt;/strong&gt;office will be required&lt;em&gt;&lt;strong&gt;.&lt;br&gt;&lt;br&gt;&lt;/strong&gt;&lt;/em&gt;&lt;strong&gt;Compensation &amp;amp; Benefits&lt;br&gt;&lt;br&gt;&lt;/strong&gt;Fervo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match.&lt;br&gt;&lt;br&gt;Fervo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experience.&lt;br&gt;&lt;br&gt;Fervo Energy reserves the right to ultimately pay more or less than the posted range and offer other compensation, depending on circumstances not related to an applicant’s sex or other status protected by local, state, or federal law.</x:v>
      </x:c>
      <x:c r="AB57" s="68" t="str">
        <x:v>Job Type
Full-time
Description
Fervo is building the most cost-effective, repeatable geothermal power plants in the world. Scaling that mission requires AI-native capabilities that drive measurable impact across drilling, completions, production, geophysics, and power plant operations. The Agentic AI Engineer, within the Data &amp;amp; AI team, designs and ships agentic workflows that turn unstructured knowledge and structured operational data into autonomous capabilities for engineers, operators, and decision-makers in the field.
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
Requirements
Responsibilities
Agentic Workflow Design &amp;amp; Delivery
- Design and deploy end-to-end agentic AI workflows using planner–worker, orchestrator–executor, multi-agent, and RAG-based architectures
- Build reusable components and reference patterns for tool routing, state management, error handling, and human-in-the-loop checkpoints
- Implement robust retrieval pipelines (hybrid search, vector + keyword, graph-aware retrieval) over technical documents, historian data, and operational records
- Translate domain problems from drilling, completions, production, geophysics, and power plant operations into well-scoped agentic use cases with clear success metrics
Semantic Grounding &amp;amp; Knowledge Integration
- Build and maintain a semantic layer over our data lake and warehouse using Snowflake Semantic Views and Databricks Unity Catalog Metric Views, making business concepts queryable by both humans and agents
- Develop and curate knowledge graphs that connect domain entities (wells, pads, assets, equipment, events, documents) and serve as grounding context for LLM reasoning
- Standardize how agents access enterprise data through Model Context Protocol (MCP) servers and equivalent integration patterns
Evaluation, Observability &amp;amp; Production Operations
- Establish agent evaluation frameworks including golden datasets, automated regression tests, and structured evals for accuracy, faithfulness, and tool-use correctness
- Implement tracing, logging, and observability across agent runs to support debugging, cost monitoring, and continuous improvement
- Build feedback loops that capture user input and convert it into eval cases and prompt/system improvements
- Support production incidents and platform-level issues impacting deployed agents
Deployment &amp;amp; Enablement
- Deploy agents as production services on our Azure-native stack (App Service, Container Apps, Functions) with Entra ID SSO, Key Vault-managed secrets, and proper cost controls
- Build lightweight UIs (Streamlit, Gradio, or React) for agentic applications and internal tools
- Lead design reviews and cross-functional enablement sessions on agentic AI patterns and best practices
Qualifications
Required
- Bachelor's or Master's degree in Computer Engineering or Data Science preferred. 
- 2+ years of hands-on experience building and deploying agentic AI or LLM-powered applications in production, not just prototypes or notebooks
- Strong Python skills, including async patterns, API design with FastAPI, and writing testable, maintainable production code
- Demonstrated experience with at least one major agent framework: LangChain/LangGraph, LlamaIndex, AutoGen, or Semantic Kernel
- Working knowledge of LLM APIs and SDKs (Anthropic Claude, OpenAI, Azure OpenAI), including tool use/function calling, structured outputs, streaming, and prompt engineering
- Experience implementing RAG architectures with vector databases (Azure AI Search, pgvector, Pinecone, Weaviate, Chroma, or similar) and embedding models
- Experience with agent orchestration patterns including multi-step planning, tool routing, state management, and graceful failure handling
- Familiarity with Model Context Protocol (MCP) or equivalent standards for tool and context integration
- Cloud deployment experience on Azure (App Service, Container Apps, Functions, Key Vault, Entra ID), or equivalent in AWS/GCP with willingness to work in our Azure-first environment
- Strong Git and CI/CD experience, including version control discipline, code review, and automated testing
- Experience with containerization (Docker) and infrastructure-as-code (Terraform preferred)
- Strong observability and production operations skills, including structured logging, tracing, cost monitoring, and runbook development
Preferred
- Experience designing or working with semantic models and semantic layers — Snowflake Semantic Views, Databricks Metric Views, dbt Semantic Layer, Cube, or Power BI semantic models
- Hands-on experience with knowledge graphs: graph databases (Neo4j, Azure Cosmos DB Gremlin), RDF/SPARQL, ontology design, or graph-augmented RAG
- Experience with agent evaluation tooling such as LangSmith
- Experience with our broader data stack: Databricks, Snowflake, Azure Data Lake Storage (ADLS), Azure Data Factory
- Oil and gas or energy industry experience, including familiarity with drilling, completions, production, geophysics, or industrial historian data
- Background in time-series data, signal processing, or industrial IoT (MQTT, OPC UA, SparkplugB)
Experience with multimodal models for handling well logs, schematics, or scanned reports
Location
Fervo Energy is headquartered in Houston, TX, with growing offices in Golden, CO, Reno, NV, and Oakland, CA, and Salt Lake City, UT. This position will be eligible for some hybrid work flexibility, but regular in-office presence at the Golden or Houston office will be required.
Compensation &amp;amp; Benefits
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
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
Fervo Energy reserves the right to ultimately pay more or less than the posted range and offer other compensation, depending on circumstances not related to an applicant’s sex or other status protected by local, state, or federal law.</x:v>
      </x:c>
      <x:c r="AC57" s="68" t="str">
        <x:v>Not Applicable</x:v>
      </x:c>
      <x:c r="AD57" s="68" t="str">
        <x:v>Full-time</x:v>
      </x:c>
      <x:c r="AE57" s="68" t="str">
        <x:v>Engineering and Information Technology</x:v>
      </x:c>
      <x:c r="AF57" s="68" t="str">
        <x:v>Renewables &amp; Environment</x:v>
      </x:c>
      <x:c r="AG57" s="68" t="str">
        <x:v>https://www.linkedin.com/jobs/search/?position=1&amp;pageNum=0&amp;keywords=AI+Engineer&amp;location=United+States&amp;distance=0&amp;f_TPR=r604800</x:v>
      </x:c>
      <x:c r="AH57" s="68" t="str">
        <x:v>{'type': 'PostalAddress', 'addressLocality': 'Houston', 'addressRegion': 'Texas', 'postalCode': '77002', 'addressCountry': 'US'}</x:v>
      </x:c>
      <x:c r="AI57" s="68" t="str">
        <x:v>http://www.fervoenergy.com</x:v>
      </x:c>
      <x:c r="AJ57" s="68" t="str">
        <x:v>Delivering 24/7 carbon-free energy through development of next-generation geothermal projects.</x:v>
      </x:c>
      <x:c r="AK57" s="68"/>
      <x:c r="AL57" s="68"/>
      <x:c r="AM57" s="68"/>
      <x:c r="AN57" s="68"/>
      <x:c r="AO57" s="68"/>
      <x:c r="AP57" s="68"/>
    </x:row>
    <x:row r="58" s="25" customFormat="1" ht="22" customHeight="1">
      <x:c r="A58" s="68" t="str">
        <x:v>4412021184</x:v>
      </x:c>
      <x:c r="B58" s="68" t="str">
        <x:v>Site AI Engineer - Fort Myers, FL</x:v>
      </x:c>
      <x:c r="C58" s="68" t="str">
        <x:v>Suffolk Construction</x:v>
      </x:c>
      <x:c r="D58" s="68" t="str">
        <x:v>Fort Myers, FL</x:v>
      </x:c>
      <x:c r="E58" s="68" t="str">
        <x:v>Requires CAPTCHA</x:v>
      </x:c>
      <x:c r="F58" s="68"/>
      <x:c r="G58" s="69"/>
      <x:c r="H58" s="85" t="str">
        <x:v>2026-08-10</x:v>
      </x:c>
      <x:c r="I58" s="85"/>
      <x:c r="J58" s="68" t="str">
        <x:v>200</x:v>
      </x:c>
      <x:c r="K58" s="70"/>
      <x:c r="L58" s="86"/>
      <x:c r="M58" s="87"/>
      <x:c r="N58" s="71"/>
      <x:c r="O58" s="88"/>
      <x:c r="P58" s="89"/>
      <x:c r="Q58" s="89"/>
      <x:c r="R58" s="89"/>
      <x:c r="S58" s="73"/>
      <x:c r="T58" s="68"/>
      <x:c r="U58" s="68" t="str">
        <x:v>https://www.linkedin.com/jobs/view/site-ai-engineer-fort-myers-fl-at-suffolk-construction-4412021184?position=28&amp;pageNum=0&amp;refId=s48tP56EQnHdC6rkSZpaEg%3D%3D&amp;trackingId=Vg52yDFSMFfP%2FBNJZjlJYQ%3D%3D</x:v>
      </x:c>
      <x:c r="V58" s="68" t="str">
        <x:v>Vg52yDFSMFfP/BNJZjlJYQ==</x:v>
      </x:c>
      <x:c r="W58" s="68" t="str">
        <x:v>s48tP56EQnHdC6rkSZpaEg==</x:v>
      </x:c>
      <x:c r="X58" s="68" t="str">
        <x:v>https://www.linkedin.com/company/suffolk-construction?trk=public_jobs_jserp-result_job-search-card-subtitle</x:v>
      </x:c>
      <x:c r="Y58" s="68" t="str">
        <x:v>https://media.licdn.com/dms/image/v2/D4E0BAQHZIbANlnVZJw/company-logo_100_100/company-logo_100_100/0/1697034811445/suffolk_construction_logo?e=2147483647&amp;v=beta&amp;t=Rqzz7g1d1JnNWkfZj5G1PEV-5AiXHg8VoFr2armfzyY</x:v>
      </x:c>
      <x:c r="Z58" s="68"/>
      <x:c r="AA58" s="68" t="str">
        <x:v>&lt;strong&gt;Overview&lt;br&gt;&lt;br&gt;&lt;/strong&gt;&lt;strong&gt;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Fort Myers, FL&lt;br&gt;&lt;br&gt;&lt;strong&gt;Responsibilities&lt;br&gt;&lt;br&gt;&lt;/strong&gt;&lt;ul&gt;&lt;li&gt;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x:v>
      </x:c>
      <x:c r="AB58" s="68" t="str">
        <x:v>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Fort Myers, FL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x:v>
      </x:c>
      <x:c r="AC58" s="68" t="str">
        <x:v>Associate</x:v>
      </x:c>
      <x:c r="AD58" s="68" t="str">
        <x:v>Full-time</x:v>
      </x:c>
      <x:c r="AE58" s="68" t="str">
        <x:v>Engineering and Information Technology</x:v>
      </x:c>
      <x:c r="AF58" s="68" t="str">
        <x:v>Construction and Civil Engineering</x:v>
      </x:c>
      <x:c r="AG58" s="68" t="str">
        <x:v>https://www.linkedin.com/jobs/search/?position=1&amp;pageNum=0&amp;keywords=AI+Engineer&amp;location=United+States&amp;distance=0&amp;f_TPR=r604800</x:v>
      </x:c>
      <x:c r="AH58" s="68" t="str">
        <x:v>{'type': 'PostalAddress', 'streetAddress': '65 Allerton Street', 'addressLocality': 'Boston', 'addressRegion': 'Massachusetts', 'postalCode': '02119', 'addressCountry': 'US'}</x:v>
      </x:c>
      <x:c r="AI58" s="68" t="str">
        <x:v>http://www.suffolk.com</x:v>
      </x:c>
      <x:c r="AJ58" s="68" t="str">
        <x:v>America's Contractor</x:v>
      </x:c>
      <x:c r="AK58" s="68"/>
      <x:c r="AL58" s="68"/>
      <x:c r="AM58" s="68"/>
      <x:c r="AN58" s="68"/>
      <x:c r="AO58" s="68"/>
      <x:c r="AP58" s="68"/>
    </x:row>
    <x:row r="59" s="25" customFormat="1" ht="22" customHeight="1">
      <x:c r="A59" s="68" t="str">
        <x:v>4448512413</x:v>
      </x:c>
      <x:c r="B59" s="68" t="str">
        <x:v>AI/RPA Engineer</x:v>
      </x:c>
      <x:c r="C59" s="68" t="str">
        <x:v>Beacon Specialized Living</x:v>
      </x:c>
      <x:c r="D59" s="68" t="str">
        <x:v>Kalamazoo, MI</x:v>
      </x:c>
      <x:c r="E59" s="68" t="str">
        <x:v>Failed</x:v>
      </x:c>
      <x:c r="F59" s="68"/>
      <x:c r="G59" s="69"/>
      <x:c r="H59" s="85" t="str">
        <x:v>2026-08-05</x:v>
      </x:c>
      <x:c r="I59" s="85"/>
      <x:c r="J59" s="68" t="str">
        <x:v>151</x:v>
      </x:c>
      <x:c r="K59" s="70"/>
      <x:c r="L59" s="86"/>
      <x:c r="M59" s="87"/>
      <x:c r="N59" s="71"/>
      <x:c r="O59" s="88"/>
      <x:c r="P59" s="89"/>
      <x:c r="Q59" s="89"/>
      <x:c r="R59" s="89"/>
      <x:c r="S59" s="73"/>
      <x:c r="T59" s="68"/>
      <x:c r="U59" s="68" t="str">
        <x:v>https://www.linkedin.com/jobs/view/ai-rpa-engineer-at-beacon-specialized-living-4448512413?position=25&amp;pageNum=0&amp;refId=s48tP56EQnHdC6rkSZpaEg%3D%3D&amp;trackingId=EpxVbRm3ciy8sXxmwIi4YA%3D%3D</x:v>
      </x:c>
      <x:c r="V59" s="68" t="str">
        <x:v>EpxVbRm3ciy8sXxmwIi4YA==</x:v>
      </x:c>
      <x:c r="W59" s="68" t="str">
        <x:v>s48tP56EQnHdC6rkSZpaEg==</x:v>
      </x:c>
      <x:c r="X59" s="68" t="str">
        <x:v>https://www.linkedin.com/company/beacon-specialized-living-services-inc-?trk=public_jobs_jserp-result_job-search-card-subtitle</x:v>
      </x:c>
      <x:c r="Y59" s="68" t="str">
        <x:v>https://media.licdn.com/dms/image/v2/C4E0BAQGZf5wWgfAFDA/company-logo_100_100/company-logo_100_100/0/1631314707606?e=2147483647&amp;v=beta&amp;t=gYcLEm7XEd1hlX5uHYFD4Za7uY7LVyrkrQ7LmOXuvtI</x:v>
      </x:c>
      <x:c r="Z59" s="68"/>
      <x:c r="AA59" s="68" t="str">
        <x:v>&lt;strong&gt;Position Summary&lt;br&gt;&lt;br&gt;&lt;/strong&gt;This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systems.&lt;br&gt;&lt;br&gt;&lt;strong&gt;NOTE: **Applicants must be legally authorized to work in the United States**&lt;br&gt;&lt;br&gt;&lt;/strong&gt;&lt;strong&gt;Primary Responsibilities&lt;br&gt;&lt;br&gt;&lt;/strong&gt;&lt;ul&gt;&lt;li&gt; Always be compliant with all company and regulatory policies and procedures.&lt;/li&gt;&lt;li&gt; Design and maintain an enterprise AI Agent framework supporting:&lt;/li&gt;&lt;li&gt; Task automation&lt;/li&gt;&lt;li&gt; Data retrieval and summarization&lt;/li&gt;&lt;li&gt; Workflow orchestration&lt;/li&gt;&lt;li&gt; Human-in-the-loop approvals&lt;/li&gt;&lt;li&gt; Build shared services including:&lt;/li&gt;&lt;li&gt; Prompt management and versioning&lt;/li&gt;&lt;li&gt; Tool and API integration layers&lt;/li&gt;&lt;li&gt; Authentication, role-based access, and audit logging&lt;br&gt;&lt;br&gt;&lt;/li&gt;&lt;/ul&gt;&lt;strong&gt;Clinical AI &amp;amp; Client Risk Intelligence&lt;br&gt;&lt;br&gt;&lt;/strong&gt;&lt;ul&gt;&lt;li&gt; Develop and support LLM-powered clinical and risk-focused solutions such as:&lt;/li&gt;&lt;li&gt; Behavioral and incident pattern analysis&lt;/li&gt;&lt;li&gt; Medication adherence and documentation quality monitoring&lt;/li&gt;&lt;li&gt; Early-warning indicators for client risk and escalation&lt;/li&gt;&lt;li&gt; Integrate AI outputs into clinical workflows, dashboards, and alerts.&lt;/li&gt;&lt;li&gt; Partner with clinical leadership to ensure interpretability and usability of AI insights.&lt;br&gt;&lt;br&gt;&lt;/li&gt;&lt;/ul&gt;&lt;strong&gt;LLM Engineering &amp;amp; MLOps&lt;br&gt;&lt;br&gt;&lt;/strong&gt;&lt;ul&gt;&lt;li&gt; Implement and manage LLM integrations including:&lt;/li&gt;&lt;li&gt; Secure prompt pipelines&lt;/li&gt;&lt;li&gt; Retrieval-Augmented Generation (RAG) using enterprise data&lt;/li&gt;&lt;li&gt; Model evaluation and drift monitoring&lt;/li&gt;&lt;li&gt; Deploy AI services using scalable cloud-native architecture (APIs, containers, CI/CD).&lt;/li&gt;&lt;li&gt; Optimize performance, cost, and latency across production AI workloads.&lt;br&gt;&lt;br&gt;&lt;/li&gt;&lt;/ul&gt;&lt;strong&gt;Data Integration &amp;amp; Platform Collaboration&lt;br&gt;&lt;br&gt;&lt;/strong&gt;&lt;ul&gt;&lt;li&gt; Work with Data Engineering to leverage:&lt;/li&gt;&lt;li&gt; Microsoft Fabric&lt;/li&gt;&lt;li&gt; Azure Data Lake&lt;/li&gt;&lt;li&gt; Power BI semantic models&lt;/li&gt;&lt;li&gt; Integrate data from:&lt;/li&gt;&lt;li&gt; EHR and eMAR platforms&lt;br&gt;&lt;br&gt;&lt;/li&gt;&lt;/ul&gt;&lt;strong&gt;Education And Qualifications&lt;br&gt;&lt;br&gt;&lt;/strong&gt;&lt;ul&gt;&lt;li&gt; Bachelor’s degree in Computer Science, Engineering, Data Science, or related field.&lt;/li&gt;&lt;li&gt; 5+ years of experience in software engineering, data engineering, or AI engineering.&lt;/li&gt;&lt;li&gt; Hands-on experience with:&lt;/li&gt;&lt;li&gt; LLM APIs and orchestration frameworks&lt;/li&gt;&lt;li&gt; Prompt engineering and RAG architectures&lt;/li&gt;&lt;li&gt; API and microservice development&lt;/li&gt;&lt;/ul&gt;</x:v>
      </x:c>
      <x:c r="AB59" s="68" t="str">
        <x:v>Position Summary
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
NOTE: **Applicants must be legally authorized to work in the United States**
Primary Responsibilities
-  Always be compliant with all company and regulatory policies and procedures.
-  Design and maintain an enterprise AI Agent framework supporting:
-  Task automation
-  Data retrieval and summarization
-  Workflow orchestration
-  Human-in-the-loop approvals
-  Build shared services including:
-  Prompt management and versioning
-  Tool and API integration layers
-  Authentication, role-based access, and audit logging
Clinical AI &amp;amp; Client Risk Intelligence
-  Develop and support LLM-powered clinical and risk-focused solutions such as:
-  Behavioral and incident pattern analysis
-  Medication adherence and documentation quality monitoring
-  Early-warning indicators for client risk and escalation
-  Integrate AI outputs into clinical workflows, dashboards, and alerts.
-  Partner with clinical leadership to ensure interpretability and usability of AI insights.
LLM Engineering &amp;amp; MLOps
-  Implement and manage LLM integrations including:
-  Secure prompt pipelines
-  Retrieval-Augmented Generation (RAG) using enterprise data
-  Model evaluation and drift monitoring
-  Deploy AI services using scalable cloud-native architecture (APIs, containers, CI/CD).
-  Optimize performance, cost, and latency across production AI workloads.
Data Integration &amp;amp; Platform Collaboration
-  Work with Data Engineering to leverage:
-  Microsoft Fabric
-  Azure Data Lake
-  Power BI semantic models
-  Integrate data from:
-  EHR and eMAR platforms
Education And Qualifications
-  Bachelor’s degree in Computer Science, Engineering, Data Science, or related field.
-  5+ years of experience in software engineering, data engineering, or AI engineering.
-  Hands-on experience with:
-  LLM APIs and orchestration frameworks
-  Prompt engineering and RAG architectures
-  API and microservice development</x:v>
      </x:c>
      <x:c r="AC59" s="68" t="str">
        <x:v>Not Applicable</x:v>
      </x:c>
      <x:c r="AD59" s="68" t="str">
        <x:v>Full-time</x:v>
      </x:c>
      <x:c r="AE59" s="68" t="str">
        <x:v>Engineering and Information Technology</x:v>
      </x:c>
      <x:c r="AF59" s="68" t="str">
        <x:v>Mental Health Care</x:v>
      </x:c>
      <x:c r="AG59" s="68" t="str">
        <x:v>https://www.linkedin.com/jobs/search/?position=1&amp;pageNum=0&amp;keywords=AI+Engineer&amp;location=United+States&amp;distance=0&amp;f_TPR=r604800</x:v>
      </x:c>
      <x:c r="AH59" s="68" t="str">
        <x:v>{'type': 'PostalAddress', 'streetAddress': '890 North 10th Street', 'addressLocality': 'Kalamazoo', 'addressRegion': 'MI', 'postalCode': '49009', 'addressCountry': 'US'}</x:v>
      </x:c>
      <x:c r="AI59" s="68" t="str">
        <x:v>http://www.beaconspecialized.org</x:v>
      </x:c>
      <x:c r="AJ59" s="68" t="str">
        <x:v>Beacon provides compassionate care and helps Individuals with disabilities live their best lives. </x:v>
      </x:c>
      <x:c r="AK59" s="68"/>
      <x:c r="AL59" s="68"/>
      <x:c r="AM59" s="68"/>
      <x:c r="AN59" s="68"/>
      <x:c r="AO59" s="68"/>
      <x:c r="AP59" s="68"/>
    </x:row>
    <x:row r="60" s="25" customFormat="1" ht="22" customHeight="1">
      <x:c r="A60" s="68" t="str">
        <x:v>4448730533</x:v>
      </x:c>
      <x:c r="B60" s="68" t="str">
        <x:v>AI Engineer</x:v>
      </x:c>
      <x:c r="C60" s="68" t="str">
        <x:v>Cozi</x:v>
      </x:c>
      <x:c r="D60" s="68" t="str">
        <x:v>Indiana, United States</x:v>
      </x:c>
      <x:c r="E60" s="68" t="str">
        <x:v>Applied</x:v>
      </x:c>
      <x:c r="F60" s="68"/>
      <x:c r="G60" s="69"/>
      <x:c r="H60" s="85" t="str">
        <x:v>2026-08-07</x:v>
      </x:c>
      <x:c r="I60" s="85"/>
      <x:c r="J60" s="68" t="str">
        <x:v>200</x:v>
      </x:c>
      <x:c r="K60" s="70"/>
      <x:c r="L60" s="86"/>
      <x:c r="M60" s="87"/>
      <x:c r="N60" s="71"/>
      <x:c r="O60" s="88"/>
      <x:c r="P60" s="89"/>
      <x:c r="Q60" s="89"/>
      <x:c r="R60" s="89"/>
      <x:c r="S60" s="73"/>
      <x:c r="T60" s="68"/>
      <x:c r="U60" s="68" t="str">
        <x:v>https://www.linkedin.com/jobs/view/ai-engineer-at-cozi-4448730533?position=22&amp;pageNum=0&amp;refId=s48tP56EQnHdC6rkSZpaEg%3D%3D&amp;trackingId=wRXNiAXx8NJ%2F9bMvzz4vRg%3D%3D</x:v>
      </x:c>
      <x:c r="V60" s="68" t="str">
        <x:v>wRXNiAXx8NJ/9bMvzz4vRg==</x:v>
      </x:c>
      <x:c r="W60" s="68" t="str">
        <x:v>s48tP56EQnHdC6rkSZpaEg==</x:v>
      </x:c>
      <x:c r="X60" s="68" t="str">
        <x:v>https://www.linkedin.com/company/cozi-group-inc-?trk=public_jobs_jserp-result_job-search-card-subtitle</x:v>
      </x:c>
      <x:c r="Y60" s="68" t="str">
        <x:v>https://media.licdn.com/dms/image/v2/C510BAQHd0wKGQEt_Mw/company-logo_100_100/company-logo_100_100/0/1631393707843?e=2147483647&amp;v=beta&amp;t=F5xNstR3iJq1qAXt2f30P3sU-w2ZlzpsWZ4aMDk_zys</x:v>
      </x:c>
      <x:c r="Z60" s="68"/>
      <x:c r="AA60" s="68" t="str">
        <x:v>At In Tandem, we build technology that helps families manage everyday routines and navigate life’s biggest transitions. Through our four brands—OurFamilyWizard, Cozi, FamilyWall, and Custody Navigator—we help families stay organized, communicate well, and foster healthy childhoods.&lt;br&gt;&lt;br&gt;We believe technology should strengthen relationships and make daily coordination less complicated. Everything we create is designed to lighten the mental load, reduce conflict, and support families through big and small moments.&lt;br&gt;&lt;br&gt;If you want your work to make a real difference in the daily lives of parents and kids, In Tandem is the place where your impact will truly matter.&lt;br&gt;&lt;br&gt;As our &lt;strong&gt;AI Engineer&lt;/strong&gt;,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build.&lt;br&gt;&lt;br&gt;This is a hands-on technical role at its core: you own the technical side of running our models on our own hardware. But it's not siloed, and we don't want it to be. We're looking for someone who also wants to pick up app-layer work and ship product-facing features, and does both well.&lt;br&gt;&lt;br&gt;&lt;em&gt;Run and optimize our self-hosted inference stack &lt;br&gt;&lt;br&gt;&lt;/em&gt;&lt;ul&gt;&lt;li&gt;Run the inference serving layer on our own GPU hardware: choose and tune the serving stack (vLLM, SGLang, TensorRT-LLM) for high throughput and low latency. &lt;/li&gt;&lt;li&gt;Optimize aggressively: tensor parallelism, quantization (FP8, AWQ, GPTQ), KV-cache and prefix caching, continuous batching, speculative decoding, concurrency tuning. &lt;/li&gt;&lt;li&gt;Serve multiple models and features off shared hardware: multi-LoRA, routing, and request scheduling that balances internal workloads against latency-sensitive product traffic. &lt;br&gt;&lt;br&gt;&lt;/li&gt;&lt;/ul&gt;&lt;em&gt;Keep our AI fast, efficient, and observable &lt;br&gt;&lt;br&gt;&lt;/em&gt;&lt;ul&gt;&lt;li&gt;Make our AI workloads efficient: improve latency, throughput, and GPU utilization so we get the most out of what we run. &lt;/li&gt;&lt;li&gt;Build the visibility: instrument performance and usage across our AI surfaces so there's clear data on how everything is running. &lt;/li&gt;&lt;li&gt;Surface the technical tradeoffs (performance, latency, efficiency) so the people making the calls have what they need to make them. &lt;br&gt;&lt;br&gt;&lt;/li&gt;&lt;/ul&gt;&lt;em&gt;Build AI features and proactive agents&lt;br&gt;&lt;br&gt;&lt;/em&gt;&lt;ul&gt;&lt;li&gt;Ship the in-app agent layer that helps families coordinate: proactive nudges, smart suggestions, agents that summarize, draft, schedule, and act for busy parents. &lt;/li&gt;&lt;li&gt;Build the substrate underneath: tools, memory, orchestration, guardrails, and evaluation harnesses, integrated cleanly with production APIs alongside our architecture team. &lt;/li&gt;&lt;li&gt;Work in nimble pairs with feature owners, standing up whatever's needed to test an idea, including a vibe-coded UI when that's the fastest path to a real customer. Ship rough, learn fast, harden what works. &lt;/li&gt;&lt;li&gt;Technical and hands-on with infrastructure: you like running real systems on real hardware and keeping them fast and reliable. &lt;/li&gt;&lt;li&gt;A full-stack builder who wants the app layer too: you don't want to be boxed into infra. When a feature needs shipping, you want to pick it up and ship it, not just hand it off. &lt;/li&gt;&lt;li&gt;Performance-minded: you treat latency, throughput, and efficiency as things to engineer deliberately. &lt;/li&gt;&lt;li&gt;Rapid-prototyping and AI-first, with modern tooling (Claude Code, agent SDKs) part of your craft. &lt;/li&gt;&lt;li&gt;Motivated by work that matters. Families rely on these products during real moments in their lives. &lt;/li&gt;&lt;li&gt;5+ years shipping production software, including meaningful applied AI or ML work. &lt;/li&gt;&lt;li&gt;Demonstrated experience running and optimizing self-hosted LLMs on dedicated multi-GPU hardware: a serving stack (vLLM, SGLang, or TensorRT-LLM) and the optimization that comes with it (tensor parallelism, quantization, batching, KV cache). &lt;/li&gt;&lt;li&gt;A track record of optimizing inference performance and efficiency (latency, throughput, GPU utilization). &lt;/li&gt;&lt;li&gt;Strong Python and engineering fundamentals, with the full-stack range to stand up a quick UI, and the genuine desire to work app-layer features and not only infra. &lt;/li&gt;&lt;li&gt;Hands-on with agent frameworks (Claude Agent SDK, LangGraph, or similar), LLM APIs, embeddings, and RAG. &lt;/li&gt;&lt;li&gt;Comfortable with AWS and the devops this role owns: Docker, CI/CD, monitoring, and observability. &lt;/li&gt;&lt;li&gt;Experience building internal tooling or platforms others depend on. Bonus for Slack apps, MCP, or agent orchestration at team scale. &lt;br&gt;&lt;br&gt;&lt;/li&gt;&lt;/ul&gt;&lt;strong&gt;Why Join?&lt;br&gt;&lt;br&gt;&lt;/strong&gt;&lt;em&gt;We’re redefining family technology.&lt;br&gt;&lt;br&gt;&lt;/em&gt;In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childhoods.&lt;br&gt;&lt;br&gt;&lt;em&gt;Scale meets startup energy.&lt;br&gt;&lt;br&gt;&lt;/em&gt;With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day.&lt;br&gt;&lt;br&gt;&lt;em&gt;Purpose-driven. Performance-focused. People-first.&lt;br&gt;&lt;br&gt;&lt;/em&gt;Our culture is rooted in accountability, curiosity, and collaboration. We value diverse perspectives, thoughtful problem-solving, and teammates who care deeply about building something that matters.&lt;br&gt;&lt;br&gt;&lt;strong&gt;How We Support You&lt;br&gt;&lt;br&gt;&lt;/strong&gt;&lt;ul&gt;&lt;li&gt;Medical: In Tandem pays 100% of the premium for employees AND 99% for all additional family members &lt;/li&gt;&lt;li&gt;401k: Up to a 4% match with immediate vesting &lt;/li&gt;&lt;li&gt;Paid leave for all new parents &lt;/li&gt;&lt;li&gt;Learning &amp;amp; Development stipend for employees &lt;/li&gt;&lt;li&gt;Paid Time Off: 11 Holidays + Winter Break (3 Days) + Volunteer Time Off (1 Day) + Floating Holiday (1 Day) &lt;/li&gt;&lt;li&gt;Personal Time Off: 15 days for 0-1 years of employment, 20 days 1-3 years of employment&lt;/li&gt;&lt;li&gt;Supportive and flexible working environment – work from anywhere! &lt;br&gt;&lt;br&gt;&lt;/li&gt;&lt;/ul&gt;&lt;strong&gt;Come As You Are!&lt;br&gt;&lt;br&gt;&lt;/strong&gt;In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v>
      </x:c>
      <x:c r="AB60" s="68" t="str">
        <x:v>At In Tandem, we build technology that helps families manage everyday routines and navigate life’s biggest transitions. Through our four brands—OurFamilyWizard, Cozi, FamilyWall, and Custody Navigator—we help families stay organized, communicate well, and foster healthy childhoods.
We believe technology should strengthen relationships and make daily coordination less complicated. Everything we create is designed to lighten the mental load, reduce conflict, and support families through big and small moments.
If you want your work to make a real difference in the daily lives of parents and kids, In Tandem is the place where your impact will truly matter.
As our AI Engineer,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
This is a hands-on technical role at its core: you own the technical side of running our models on our own hardware. But it's not siloed, and we don't want it to be. We're looking for someone who also wants to pick up app-layer work and ship product-facing features, and does both well.
Run and optimize our self-hosted inference stack 
- Run the inference serving layer on our own GPU hardware: choose and tune the serving stack (vLLM, SGLang, TensorRT-LLM) for high throughput and low latency. 
- Optimize aggressively: tensor parallelism, quantization (FP8, AWQ, GPTQ), KV-cache and prefix caching, continuous batching, speculative decoding, concurrency tuning. 
- Serve multiple models and features off shared hardware: multi-LoRA, routing, and request scheduling that balances internal workloads against latency-sensitive product traffic. 
Keep our AI fast, efficient, and observable 
- Make our AI workloads efficient: improve latency, throughput, and GPU utilization so we get the most out of what we run. 
- Build the visibility: instrument performance and usage across our AI surfaces so there's clear data on how everything is running. 
- Surface the technical tradeoffs (performance, latency, efficiency) so the people making the calls have what they need to make them. 
Build AI features and proactive agents
- Ship the in-app agent layer that helps families coordinate: proactive nudges, smart suggestions, agents that summarize, draft, schedule, and act for busy parents. 
- Build the substrate underneath: tools, memory, orchestration, guardrails, and evaluation harnesses, integrated cleanly with production APIs alongside our architecture team. 
- Work in nimble pairs with feature owners, standing up whatever's needed to test an idea, including a vibe-coded UI when that's the fastest path to a real customer. Ship rough, learn fast, harden what works. 
- Technical and hands-on with infrastructure: you like running real systems on real hardware and keeping them fast and reliable. 
- A full-stack builder who wants the app layer too: you don't want to be boxed into infra. When a feature needs shipping, you want to pick it up and ship it, not just hand it off. 
- Performance-minded: you treat latency, throughput, and efficiency as things to engineer deliberately. 
- Rapid-prototyping and AI-first, with modern tooling (Claude Code, agent SDKs) part of your craft. 
- Motivated by work that matters. Families rely on these products during real moments in their lives. 
- 5+ years shipping production software, including meaningful applied AI or ML work. 
- Demonstrated experience running and optimizing self-hosted LLMs on dedicated multi-GPU hardware: a serving stack (vLLM, SGLang, or TensorRT-LLM) and the optimization that comes with it (tensor parallelism, quantization, batching, KV cache). 
- A track record of optimizing inference performance and efficiency (latency, throughput, GPU utilization). 
- Strong Python and engineering fundamentals, with the full-stack range to stand up a quick UI, and the genuine desire to work app-layer features and not only infra. 
- Hands-on with agent frameworks (Claude Agent SDK, LangGraph, or similar), LLM APIs, embeddings, and RAG. 
- Comfortable with AWS and the devops this role owns: Docker, CI/CD, monitoring, and observability. 
- Experience building internal tooling or platforms others depend on. Bonus for Slack apps, MCP, or agent orchestration at team scale. 
Why Join?
We’re redefining family technology.
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
Scale meets startup energy.
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
Purpose-driven. Performance-focused. People-first.
Our culture is rooted in accountability, curiosity, and collaboration. We value diverse perspectives, thoughtful problem-solving, and teammates who care deeply about building something that matters.
How We Support You
- Medical: In Tandem pays 100% of the premium for employees AND 99% for all additional family members 
- 401k: Up to a 4% match with immediate vesting 
- Paid leave for all new parents 
- Learning &amp;amp; Development stipend for employees 
- Paid Time Off: 11 Holidays + Winter Break (3 Days) + Volunteer Time Off (1 Day) + Floating Holiday (1 Day) 
- Personal Time Off: 15 days for 0-1 years of employment, 20 days 1-3 years of employment
- Supportive and flexible working environment – work from anywhere! 
Come As You Are!
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v>
      </x:c>
      <x:c r="AC60" s="68" t="str">
        <x:v>Not Applicable</x:v>
      </x:c>
      <x:c r="AD60" s="68" t="str">
        <x:v>Full-time</x:v>
      </x:c>
      <x:c r="AE60" s="68" t="str">
        <x:v>Engineering and Information Technology</x:v>
      </x:c>
      <x:c r="AF60" s="68" t="str">
        <x:v>Software Development</x:v>
      </x:c>
      <x:c r="AG60" s="68" t="str">
        <x:v>https://www.linkedin.com/jobs/search/?position=1&amp;pageNum=0&amp;keywords=AI+Engineer&amp;location=United+States&amp;distance=0&amp;f_TPR=r604800</x:v>
      </x:c>
      <x:c r="AH60" s="68" t="str">
        <x:v>{'type': 'PostalAddress', 'streetAddress': '821 2nd Ave', 'addressLocality': 'Seattle', 'addressRegion': 'Washington', 'addressCountry': 'US'}</x:v>
      </x:c>
      <x:c r="AI60" s="68" t="str">
        <x:v>http://www.cozi.com</x:v>
      </x:c>
      <x:c r="AJ60" s="68"/>
      <x:c r="AK60" s="68"/>
      <x:c r="AL60" s="68"/>
      <x:c r="AM60" s="68"/>
      <x:c r="AN60" s="68"/>
      <x:c r="AO60" s="68"/>
      <x:c r="AP60" s="68"/>
    </x:row>
    <x:row r="61" s="25" customFormat="1" ht="22" customHeight="1">
      <x:c r="A61" s="68" t="str">
        <x:v>4446256482</x:v>
      </x:c>
      <x:c r="B61" s="68" t="str">
        <x:v>AI Engineer (New York)</x:v>
      </x:c>
      <x:c r="C61" s="68" t="str">
        <x:v>Edra</x:v>
      </x:c>
      <x:c r="D61" s="68" t="str">
        <x:v>New York, NY</x:v>
      </x:c>
      <x:c r="E61" s="68" t="str">
        <x:v>Applied</x:v>
      </x:c>
      <x:c r="F61" s="68"/>
      <x:c r="G61" s="69"/>
      <x:c r="H61" s="85" t="str">
        <x:v>2026-08-05</x:v>
      </x:c>
      <x:c r="I61" s="85"/>
      <x:c r="J61" s="68" t="str">
        <x:v>200</x:v>
      </x:c>
      <x:c r="K61" s="70" t="str">
        <x:v>$200,000.00/yr - $300,000.00/yr</x:v>
      </x:c>
      <x:c r="L61" s="86"/>
      <x:c r="M61" s="87"/>
      <x:c r="N61" s="71"/>
      <x:c r="O61" s="88"/>
      <x:c r="P61" s="89"/>
      <x:c r="Q61" s="89"/>
      <x:c r="R61" s="89"/>
      <x:c r="S61" s="73"/>
      <x:c r="T61" s="68"/>
      <x:c r="U61" s="68" t="str">
        <x:v>https://www.linkedin.com/jobs/view/ai-engineer-new-york-at-edra-4446256482?position=24&amp;pageNum=0&amp;refId=s48tP56EQnHdC6rkSZpaEg%3D%3D&amp;trackingId=jIDngLc8ClIFS7Sak1XGQw%3D%3D</x:v>
      </x:c>
      <x:c r="V61" s="68" t="str">
        <x:v>jIDngLc8ClIFS7Sak1XGQw==</x:v>
      </x:c>
      <x:c r="W61" s="68" t="str">
        <x:v>s48tP56EQnHdC6rkSZpaEg==</x:v>
      </x:c>
      <x:c r="X61" s="68" t="str">
        <x:v>https://www.linkedin.com/company/edra-ai?trk=public_jobs_jserp-result_job-search-card-subtitle</x:v>
      </x:c>
      <x:c r="Y61" s="68" t="str">
        <x:v>https://media.licdn.com/dms/image/v2/D4E0BAQFTxv-FvZ_1-A/company-logo_100_100/B4EZz9Z8pIGkAU-/0/1773777963896/edra_ai_logo?e=2147483647&amp;v=beta&amp;t=GeqTvW7D9MsG8qY246w8mGX5Qh86USDO4AoHBdhFR-4</x:v>
      </x:c>
      <x:c r="Z61" s="68"/>
      <x:c r="AA61" s="68" t="str">
        <x:v>&lt;strong&gt;About Edra&lt;br&gt;&lt;br&gt;&lt;/strong&gt;Edra is solving one of the hardest problems in enterprise AI: AI models are generic but company processes are specific. We build AI agents that learn how processes actually run, and then run their operations.&lt;br&gt;&lt;br&gt;We're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build.&lt;br&gt;&lt;br&gt;&lt;strong&gt;The Role&lt;br&gt;&lt;br&gt;&lt;/strong&gt;We're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input.&lt;br&gt;&lt;br&gt;We're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craft.&lt;br&gt;&lt;br&gt;You’ll spend most of your time advancing our core learning library and building the harness that powers our platform’s agents across all customers. The work spans continuous learning systems, agentic features, human-in-the-loop feedback loops, and agent orchestration.&lt;br&gt;&lt;br&gt;&lt;strong&gt;What You'll Do&lt;br&gt;&lt;br&gt;&lt;/strong&gt;&lt;ul&gt;&lt;li&gt;Build and extend our core context-learning library, turning customer-informed problems into reusable platform capabilities.&lt;/li&gt;&lt;li&gt;Design and implement LLM-powered systems and agentic workflows from concept to production&lt;/li&gt;&lt;li&gt;Build agentic features for knowledge management–think agents that can edit, update, and maintain large knowledge bases autonomously&lt;/li&gt;&lt;li&gt;Build reliability and confidence systems–evaluation frameworks, confidence scoring, and logic for when to automate vs. when to escalate to a human&lt;/li&gt;&lt;li&gt;Architect async, scalable systems that handle complex AI orchestration&lt;/li&gt;&lt;li&gt;Contribute to the direction of our AI strategy and product capabilities&lt;br&gt;&lt;br&gt;&lt;/li&gt;&lt;/ul&gt;&lt;strong&gt;What We’re Looking For&lt;br&gt;&lt;br&gt;&lt;/strong&gt;&lt;ul&gt;&lt;li&gt;You've built complex, production LLM-based systems with real depth–something with multiple layers of engineering decisions you can walk through in detail&lt;/li&gt;&lt;li&gt;You've shipped something meaningful to production and can explain how it evolved&lt;/li&gt;&lt;li&gt;You're excited by open-ended problems where the solution might not exist yet&lt;/li&gt;&lt;li&gt;You have experience with (or strong interest in) how systems learn and improve over time: human-in-the-loop feedback, prompt optimization and context engineering&lt;/li&gt;&lt;li&gt;You have experience building agents and autonomous systems&lt;/li&gt;&lt;li&gt;You can navigate between research papers and production code with equal comfort&lt;/li&gt;&lt;li&gt;You're a strong communicator who can clearly explain your work to teammates and customers&lt;/li&gt;&lt;li&gt;You have 3+ years of professional experience&lt;br&gt;&lt;br&gt;&lt;/li&gt;&lt;/ul&gt;Don’t meet all of the above traits? We’d still love to hear from you. We’re looking for exceptional people with unique skills and interests, and we know that great people have different backgrounds and skillsets.&lt;br&gt;&lt;br&gt;&lt;strong&gt;Learn More About Edra&lt;br&gt;&lt;br&gt;&lt;/strong&gt;&lt;ul&gt;&lt;li&gt;Watch our Series A announcement video&lt;/li&gt;&lt;li&gt;Read our blog post from our launch&lt;/li&gt;&lt;li&gt;Learn more about what we're building&lt;br&gt;&lt;br&gt;&lt;/li&gt;&lt;/ul&gt;&lt;strong&gt;Compensation &amp;amp; Benefits&lt;br&gt;&lt;br&gt;&lt;/strong&gt;Edra offers generous compensation and benefits in both New York &amp;amp; London:&lt;br&gt;&lt;br&gt;&lt;ul&gt;&lt;li&gt;Competitive base salary &amp;amp; meaningful equity &lt;/li&gt;&lt;li&gt;Top tier health, dental, &amp;amp; vision plans:&lt;/li&gt;&lt;ul&gt;&lt;li&gt;Top plans with 100% premium coverage in the US (and a One Medical membership)&lt;/li&gt;&lt;li&gt;Private medical &amp;amp; dental coverage in the UK &lt;/li&gt;&lt;/ul&gt;&lt;li&gt;Flexible paid time off &lt;/li&gt;&lt;li&gt;Lunch provided in office most days, snacks &amp;amp; drinks too&lt;/li&gt;&lt;li&gt;A stipend to set up your workspace&lt;br&gt;&lt;/li&gt;&lt;/ul&gt;&lt;strong&gt;A Few Details&lt;br&gt;&lt;br&gt;&lt;/strong&gt;We work together in person five days a week from our offices in the West Village (New York) and Holborn (London).&lt;br&gt;&lt;br&gt;Edra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characteristic.&lt;br&gt;&lt;br&gt;Compensation Range: $200K - $300K&lt;br&gt;&lt;br&gt;</x:v>
      </x:c>
      <x:c r="AB61" s="68" t="str">
        <x:v>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spend most of your time advancing our core learning library and building the harness that powers our platform’s agents across all customers. The work spans continuous learning systems, agentic features, human-in-the-loop feedback loops, and agent orchestration.
What You'll Do
- Build and extend our core context-learning library, turning customer-informed problems into reusable platform capabilities.
- Design and implement LLM-powered systems and agentic workflows from concept to production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 Contribute to the direction of our AI strategy and product capabilities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x:v>
      </x:c>
      <x:c r="AC61" s="68" t="str">
        <x:v>Not Applicable</x:v>
      </x:c>
      <x:c r="AD61" s="68" t="str">
        <x:v>Full-time</x:v>
      </x:c>
      <x:c r="AE61" s="68" t="str">
        <x:v>Engineering and Information Technology</x:v>
      </x:c>
      <x:c r="AF61" s="68" t="str">
        <x:v>Technology, Information and Internet</x:v>
      </x:c>
      <x:c r="AG61" s="68" t="str">
        <x:v>https://www.linkedin.com/jobs/search/?position=1&amp;pageNum=0&amp;keywords=AI+Engineer&amp;location=United+States&amp;distance=0&amp;f_TPR=r604800</x:v>
      </x:c>
      <x:c r="AH61" s="68" t="str">
        <x:v>{'type': 'PostalAddress', 'addressLocality': 'New York', 'addressCountry': 'US'}</x:v>
      </x:c>
      <x:c r="AI61" s="68" t="str">
        <x:v>https://www.edra.ai/</x:v>
      </x:c>
      <x:c r="AJ61" s="68"/>
      <x:c r="AK61" s="68"/>
      <x:c r="AL61" s="68"/>
      <x:c r="AM61" s="68"/>
      <x:c r="AN61" s="68"/>
      <x:c r="AO61" s="68"/>
      <x:c r="AP61" s="68"/>
    </x:row>
    <x:row r="62" s="25" customFormat="1" ht="22" customHeight="1">
      <x:c r="A62" s="68" t="str">
        <x:v>4441355849</x:v>
      </x:c>
      <x:c r="B62" s="68" t="str">
        <x:v>Applied AI Engineer</x:v>
      </x:c>
      <x:c r="C62" s="68" t="str">
        <x:v>Millennium</x:v>
      </x:c>
      <x:c r="D62" s="68" t="str">
        <x:v>New York, NY</x:v>
      </x:c>
      <x:c r="E62" s="68" t="str">
        <x:v>Applied</x:v>
      </x:c>
      <x:c r="F62" s="68"/>
      <x:c r="G62" s="69"/>
      <x:c r="H62" s="85" t="str">
        <x:v>2026-08-08</x:v>
      </x:c>
      <x:c r="I62" s="85"/>
      <x:c r="J62" s="68" t="str">
        <x:v>200</x:v>
      </x:c>
      <x:c r="K62" s="70"/>
      <x:c r="L62" s="86"/>
      <x:c r="M62" s="87"/>
      <x:c r="N62" s="71"/>
      <x:c r="O62" s="88"/>
      <x:c r="P62" s="89"/>
      <x:c r="Q62" s="89"/>
      <x:c r="R62" s="89"/>
      <x:c r="S62" s="73"/>
      <x:c r="T62" s="68"/>
      <x:c r="U62" s="68" t="str">
        <x:v>https://www.linkedin.com/jobs/view/applied-ai-engineer-at-millennium-4441355849?position=21&amp;pageNum=0&amp;refId=s48tP56EQnHdC6rkSZpaEg%3D%3D&amp;trackingId=i10IkWQKnuGjexbdbanklQ%3D%3D</x:v>
      </x:c>
      <x:c r="V62" s="68" t="str">
        <x:v>i10IkWQKnuGjexbdbanklQ==</x:v>
      </x:c>
      <x:c r="W62" s="68" t="str">
        <x:v>s48tP56EQnHdC6rkSZpaEg==</x:v>
      </x:c>
      <x:c r="X62" s="68" t="str">
        <x:v>https://www.linkedin.com/company/millennium-partners?trk=public_jobs_jserp-result_job-search-card-subtitle</x:v>
      </x:c>
      <x:c r="Y62" s="68" t="str">
        <x:v>https://media.licdn.com/dms/image/v2/D4E0BAQERyyseYCjemg/company-logo_100_100/B4EZ348VzUHUAI-/0/1777998060987/millennium_partners_logo?e=2147483647&amp;v=beta&amp;t=a7jZRcg4a0ySlvT1AMzA6REJFxqMbHhxABa0zhMqrb8</x:v>
      </x:c>
      <x:c r="Z62" s="68"/>
      <x:c r="AA62" s="68" t="str">
        <x:v>&lt;strong&gt;About Millennium&lt;br&gt;&lt;br&gt;&lt;/strong&gt;Millennium is a global, diversified alternative investment firm, founded in 1989. Defined by evolution, innovation and focus, Millennium’s mission is to deliver results for our investors.&lt;br&gt;&lt;br&gt;Our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impact.&lt;br&gt;&lt;br&gt;&lt;strong&gt;Meet the Team&lt;br&gt;&lt;br&gt;&lt;/strong&gt;Central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projects.&lt;br&gt;&lt;br&gt;&lt;strong&gt;What You'll Do&lt;br&gt;&lt;br&gt;&lt;/strong&gt;&lt;ul&gt;&lt;li&gt;Own agentic process automation: reverse-engineer manual, undocumented workflows and build agents that execute them reliably, including tool integrations, orchestration, human-in-the-loop checkpoints, state management, and auditability.&lt;/li&gt;&lt;li&gt;Build prediction and decision-support models: forecasting, anomaly detection, ranking, matching, and classification over years of accumulated firm data, with proper validation and monitoring.&lt;/li&gt;&lt;li&gt;Develop document intelligence pipelines for extraction, classification, and review across contracts, filings, emails, and transcripts.&lt;/li&gt;&lt;li&gt;Build entity intelligence and self-improving systems, including knowledge graphs, entity resolution, enrichment pipelines, and eval/feedback loops that improve deployed systems over time.&lt;/li&gt;&lt;li&gt;Embed directly with business teams to scope problems end-to-end, owning everything from the initial conversation through architecture, deployment, evaluation, and iteration.&lt;/li&gt;&lt;li&gt;Turn proven solutions into reusable capabilities for the broader firm.&lt;br&gt;&lt;br&gt;&lt;/li&gt;&lt;/ul&gt;&lt;strong&gt;What You Bring&lt;br&gt;&lt;br&gt;&lt;/strong&gt;&lt;ul&gt;&lt;li&gt;3+ years shipping production software, ML, or AI systems (flexible for exceptional builders; what you’ve shipped matters more than years served).&lt;/li&gt;&lt;li&gt;Bachelor’s degree in Computer Science, Engineering, Mathematics, Physics, or a related quantitative discipline.&lt;/li&gt;&lt;li&gt;Strong Python and engineering fundamentals; your prototypes become products others build on.&lt;/li&gt;&lt;li&gt;Substantial hands-on LLM and agentic experience: tool use, orchestration, structured outputs, retrieval, evals, and calibrated judgment about what agents can reliably do.&lt;/li&gt;&lt;li&gt;Supervised ML depth: training, validation, feature engineering, and awareness of pitfalls like leakage, overfitting, and drift.&lt;/li&gt;&lt;li&gt;Comfort with messy, heterogeneous data and unfamiliar domains, with the ability to become functionally fluent within days and earn credibility with subject-matter experts.&lt;/li&gt;&lt;li&gt;The autonomy to embed with a trader’s team or a CFO’s team, understand their world, and build without waiting for a spec.&lt;br&gt;&lt;br&gt;&lt;/li&gt;&lt;/ul&gt;&lt;strong&gt;Salary Range&lt;br&gt;&lt;br&gt;&lt;/strong&gt;Millennium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x:v>
      </x:c>
      <x:c r="AB62" s="68" t="str">
        <x:v>About Millennium
Millennium is a global, diversified alternative investment firm, founded in 1989. Defined by evolution, innovation and focus, Millennium’s mission is to deliver results for our investors.
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
Meet the Team
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
What You'll Do
- Own agentic process automation: reverse-engineer manual, undocumented workflows and build agents that execute them reliably, including tool integrations, orchestration, human-in-the-loop checkpoints, state management, and auditability.
- Build prediction and decision-support models: forecasting, anomaly detection, ranking, matching, and classification over years of accumulated firm data, with proper validation and monitoring.
- Develop document intelligence pipelines for extraction, classification, and review across contracts, filings, emails, and transcripts.
- Build entity intelligence and self-improving systems, including knowledge graphs, entity resolution, enrichment pipelines, and eval/feedback loops that improve deployed systems over time.
- Embed directly with business teams to scope problems end-to-end, owning everything from the initial conversation through architecture, deployment, evaluation, and iteration.
- Turn proven solutions into reusable capabilities for the broader firm.
What You Bring
- 3+ years shipping production software, ML, or AI systems (flexible for exceptional builders; what you’ve shipped matters more than years served).
- Bachelor’s degree in Computer Science, Engineering, Mathematics, Physics, or a related quantitative discipline.
- Strong Python and engineering fundamentals; your prototypes become products others build on.
- Substantial hands-on LLM and agentic experience: tool use, orchestration, structured outputs, retrieval, evals, and calibrated judgment about what agents can reliably do.
- Supervised ML depth: training, validation, feature engineering, and awareness of pitfalls like leakage, overfitting, and drift.
- Comfort with messy, heterogeneous data and unfamiliar domains, with the ability to become functionally fluent within days and earn credibility with subject-matter experts.
- The autonomy to embed with a trader’s team or a CFO’s team, understand their world, and build without waiting for a spec.
Salary Range
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x:v>
      </x:c>
      <x:c r="AC62" s="68" t="str">
        <x:v>Not Applicable</x:v>
      </x:c>
      <x:c r="AD62" s="68" t="str">
        <x:v>Full-time</x:v>
      </x:c>
      <x:c r="AE62" s="68" t="str">
        <x:v>Engineering and Information Technology</x:v>
      </x:c>
      <x:c r="AF62" s="68" t="str">
        <x:v>Investment Management</x:v>
      </x:c>
      <x:c r="AG62" s="68" t="str">
        <x:v>https://www.linkedin.com/jobs/search/?position=1&amp;pageNum=0&amp;keywords=AI+Engineer&amp;location=United+States&amp;distance=0&amp;f_TPR=r604800</x:v>
      </x:c>
      <x:c r="AH62" s="68" t="str">
        <x:v>{'type': 'PostalAddress', 'streetAddress': '399 Park Avenue', 'addressLocality': 'New York', 'addressRegion': 'NY', 'postalCode': '10022', 'addressCountry': 'US'}</x:v>
      </x:c>
      <x:c r="AI62" s="68" t="str">
        <x:v>https://www.mlp.com</x:v>
      </x:c>
      <x:c r="AJ62" s="68"/>
      <x:c r="AK62" s="68"/>
      <x:c r="AL62" s="68"/>
      <x:c r="AM62" s="68"/>
      <x:c r="AN62" s="68"/>
      <x:c r="AO62" s="68"/>
      <x:c r="AP62" s="68"/>
    </x:row>
    <x:row r="63" s="25" customFormat="1" ht="22" customHeight="1">
      <x:c r="A63" s="68" t="str">
        <x:v>4450741722</x:v>
      </x:c>
      <x:c r="B63" s="68" t="str">
        <x:v>AI Automation Engineer - On Site</x:v>
      </x:c>
      <x:c r="C63" s="68" t="str">
        <x:v>K Group Companies</x:v>
      </x:c>
      <x:c r="D63" s="68" t="str">
        <x:v>Grand Rapids, MI</x:v>
      </x:c>
      <x:c r="E63" s="68" t="str">
        <x:v>Applied</x:v>
      </x:c>
      <x:c r="F63" s="68"/>
      <x:c r="G63" s="69"/>
      <x:c r="H63" s="85" t="str">
        <x:v>2026-08-07</x:v>
      </x:c>
      <x:c r="I63" s="85"/>
      <x:c r="J63" s="68" t="str">
        <x:v>25</x:v>
      </x:c>
      <x:c r="K63" s="70"/>
      <x:c r="L63" s="86"/>
      <x:c r="M63" s="87"/>
      <x:c r="N63" s="71"/>
      <x:c r="O63" s="88"/>
      <x:c r="P63" s="89"/>
      <x:c r="Q63" s="89"/>
      <x:c r="R63" s="89"/>
      <x:c r="S63" s="73"/>
      <x:c r="T63" s="68"/>
      <x:c r="U63" s="68" t="str">
        <x:v>https://www.linkedin.com/jobs/view/ai-automation-engineer-on-site-at-k-group-companies-4450741722?position=36&amp;pageNum=0&amp;refId=s48tP56EQnHdC6rkSZpaEg%3D%3D&amp;trackingId=H%2B7RPDoUvKZoMjrKAly92w%3D%3D</x:v>
      </x:c>
      <x:c r="V63" s="68" t="str">
        <x:v>H+7RPDoUvKZoMjrKAly92w==</x:v>
      </x:c>
      <x:c r="W63" s="68" t="str">
        <x:v>s48tP56EQnHdC6rkSZpaEg==</x:v>
      </x:c>
      <x:c r="X63" s="68" t="str">
        <x:v>https://www.linkedin.com/company/k-group-companies?trk=public_jobs_jserp-result_job-search-card-subtitle</x:v>
      </x:c>
      <x:c r="Y63" s="68" t="str">
        <x:v>https://media.licdn.com/dms/image/v2/C4D0BAQEOaSzsxTwQPg/company-logo_100_100/company-logo_100_100/0/1675356786379/k_group_companies_logo?e=2147483647&amp;v=beta&amp;t=MvXFPT6NNizWD1Q9ko3JQa3Z_e46GKp53rEJCi0HfAw</x:v>
      </x:c>
      <x:c r="Z63" s="68"/>
      <x:c r="AA63" s="68" t="str">
        <x:v>&lt;strong&gt;About K Group Companies&lt;br&gt;&lt;/strong&gt;K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services.&lt;br&gt;&lt;br&gt;As a third-generation, family-owned business, we’ve built our reputation on long-term relationships, trusted expertise, and a commitment to doing things the right way for our customers and for each other.&lt;br&gt;&lt;br&gt;We believe great work happens when people feel connected to their purpose, their team, and their growth.&lt;br&gt;&lt;br&gt;&lt;em&gt; &lt;strong&gt;Work Authorization Requirement:&lt;/strong&gt; Applicants must be legally authorized to work in the United States at the time of application. This position does not offer employment visa sponsorship now or in the future. &lt;strong&gt;This role is 100% onsite in Grand Rapids, Michigan. &lt;/strong&gt;No third-party recruiters, agencies, or C2C arrangements.&lt;br&gt;&lt;br&gt;&lt;/em&gt;&lt;strong&gt;Why K Group Companies? &lt;br&gt;&lt;/strong&gt;At K Group Companies, culture is built on long-standing relationships, both with our customers and with each other.&lt;br&gt;&lt;br&gt;Our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success.&lt;br&gt;&lt;br&gt;We also believe work should be fulfilling and enjoyable. From friendly gaming competitions in our Team Zone arcade to grabbing lunch together in the community, we value connection and teamwork just as much as technical excellence.&lt;br&gt;&lt;br&gt;&lt;strong&gt;What you can expect here:&lt;br&gt;&lt;br&gt;&lt;/strong&gt;&lt;ul&gt;&lt;li&gt;A family-owned company with deep roots in West Michigan&lt;/li&gt;&lt;li&gt;A trusted advisor culture built over 40+ years of relationships&lt;/li&gt;&lt;li&gt;The opportunity to work across diverse, real-world technology environments&lt;/li&gt;&lt;li&gt;A team-oriented culture grounded in accountability, collaboration, and pride in workmanship&lt;/li&gt;&lt;li&gt;A workplace where people genuinely know and support each other&lt;br&gt;&lt;br&gt;&lt;br&gt;&lt;br&gt;&lt;br&gt;&lt;/li&gt;&lt;/ul&gt;&lt;em&gt;We believe we are better together, and that belief shows up in everything we do.&lt;br&gt;&lt;br&gt;&lt;/em&gt;&lt;strong&gt;Role Overview&lt;br&gt;&lt;/strong&gt;The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scale.&lt;br&gt;&lt;br&gt;This is a builder role first. The ideal candidate thrives on turning complex business requirements into working, measurable systems — and takes pride in delivering solutions that are practical, responsible, and built to last.&lt;br&gt;&lt;br&gt;&lt;strong&gt;Core Responsibilities&lt;br&gt;&lt;/strong&gt;&lt;strong&gt;Automation &amp;amp; Workflow Engineering&lt;br&gt;&lt;br&gt;&lt;/strong&gt;&lt;ul&gt;&lt;li&gt;Design, build, and maintain AI-powered automation workflows using n8n, Python, and integrated APIs including ConnectWise, Microsoft 365, SharePoint, and others&lt;/li&gt;&lt;li&gt;Develop intelligent systems including multi-stage AI classification pipelines, automated compliance and billing review processes, and notification-driven monitoring tools&lt;/li&gt;&lt;li&gt;Implement provider-abstracted AI architectures supporting OpenAI, Ollama, and other LLM providers with configurable confidence thresholds and fallback logic&lt;/li&gt;&lt;li&gt;Build and iterate on internal tools that reduce manual effort, improve data accuracy, and create measurable operational efficiencies&lt;br&gt;&lt;br&gt;&lt;br&gt;&lt;br&gt;&lt;br&gt;&lt;/li&gt;&lt;/ul&gt;&lt;strong&gt;Client Delivery &amp;amp; Engagement Support&lt;br&gt;&lt;br&gt;&lt;/strong&gt;&lt;ul&gt;&lt;li&gt;Lead delivery execution for AI/automation client engagements — managing implementation, iteration, and ongoing optimization through to completion in coordination with the practice team&lt;/li&gt;&lt;li&gt;Participate in client discovery sessions as a technical resource, contributing to needs assessment, feasibility evaluation, and solution design under the direction of practice leadership&lt;/li&gt;&lt;li&gt;Translate scoped business requirements into working systems and present delivery results to client stakeholders including operations leads and project sponsors&lt;/li&gt;&lt;li&gt;Build reusable delivery frameworks, templates, and documentation that allow AI consulting engagements to scale efficiently across multiple clients&lt;br&gt;&lt;br&gt;&lt;br&gt;&lt;br&gt;&lt;br&gt;&lt;/li&gt;&lt;/ul&gt;&lt;strong&gt;Enablement &amp;amp; Adoption&lt;br&gt;&lt;br&gt;&lt;/strong&gt;&lt;ul&gt;&lt;li&gt;Support AI adoption across internal teams by building training materials, playbooks, and purpose-built tools that make AI accessible to non-technical staff&lt;/li&gt;&lt;li&gt;Track and report on AI adoption metrics, connecting usage data to business outcomes rather than vanity metrics&lt;/li&gt;&lt;li&gt;Contribute to responsible AI use and utilization efforts — including Microsoft 365 Copilot — supporting the governance frameworks and usage guidelines established by practice leadership&lt;br&gt;&lt;br&gt;&lt;br&gt;&lt;br&gt;&lt;br&gt;&lt;/li&gt;&lt;/ul&gt;&lt;strong&gt;What Success Looks Like — Year One&lt;br&gt;&lt;/strong&gt;To be defined collaboratively with leadership. Initial indicators may include:&lt;br&gt;&lt;br&gt;&lt;br&gt;&lt;ul&gt;&lt;li&gt;Production-grade automation workflows deployed for internal K Group operations&lt;/li&gt;&lt;li&gt;Client delivery engagements completed on time and within scope with documented outcomes&lt;/li&gt;&lt;li&gt;Reusable delivery frameworks and templates in place for at least two service offering types&lt;/li&gt;&lt;li&gt;AI adoption metrics established and actively tracked across internal teams&lt;/li&gt;&lt;li&gt;Contributed to AI utilization efforts, including Microsoft 365 Copilot, with adoption measurably improving across internal teams&lt;br&gt;&lt;br&gt;&lt;br&gt;&lt;br&gt;&lt;br&gt;&lt;/li&gt;&lt;/ul&gt;&lt;strong&gt;Experience &amp;amp; Qualifications&lt;br&gt;&lt;br&gt;&lt;/strong&gt;&lt;ul&gt;&lt;li&gt;Hands-on expertise in AI/automation platforms — n8n, LLM integrations, workflow orchestration, API development&lt;/li&gt;&lt;li&gt;Proficiency with Python and modern integration patterns across business platforms including ConnectWise, Microsoft 365, and SharePoint&lt;/li&gt;&lt;li&gt;Experience building production-grade systems — not just proof-of-concept tools — with attention to reliability, documentation, and maintainability&lt;/li&gt;&lt;li&gt;Strong communicator capable of presenting technical work and outcomes to non-technical stakeholders&lt;/li&gt;&lt;li&gt;Comfortable working within a defined strategic framework while exercising autonomy in execution and delivery decisions&lt;/li&gt;&lt;li&gt;MSP or technology services background preferred&lt;br&gt;&lt;br&gt;&lt;br&gt;&lt;br&gt;&lt;br&gt;&lt;/li&gt;&lt;/ul&gt;&lt;strong&gt;Reporting &amp;amp; Structure&lt;br&gt;&lt;/strong&gt;Reports to: Director of Engineering&lt;br&gt;&lt;br&gt;Team: AI Enablement Team&lt;br&gt;&lt;br&gt;Location: Grand Rapids, MI</x:v>
      </x:c>
      <x:c r="AB63" s="68" t="str">
        <x:v>About K Group Companies
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
As a third-generation, family-owned business, we’ve built our reputation on long-term relationships, trusted expertise, and a commitment to doing things the right way for our customers and for each other.
We believe great work happens when people feel connected to their purpose, their team, and their growth.
 Work Authorization Requirement: Applicants must be legally authorized to work in the United States at the time of application. This position does not offer employment visa sponsorship now or in the future. This role is 100% onsite in Grand Rapids, Michigan. No third-party recruiters, agencies, or C2C arrangements.
Why K Group Companies? 
At K Group Companies, culture is built on long-standing relationships, both with our customers and with each other.
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
We also believe work should be fulfilling and enjoyable. From friendly gaming competitions in our Team Zone arcade to grabbing lunch together in the community, we value connection and teamwork just as much as technical excellence.
What you can expect here:
- A family-owned company with deep roots in West Michigan
- A trusted advisor culture built over 40+ years of relationships
- The opportunity to work across diverse, real-world technology environments
- A team-oriented culture grounded in accountability, collaboration, and pride in workmanship
- A workplace where people genuinely know and support each other
We believe we are better together, and that belief shows up in everything we do.
Role Overview
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
This is a builder role first. The ideal candidate thrives on turning complex business requirements into working, measurable systems — and takes pride in delivering solutions that are practical, responsible, and built to last.
Core Responsibilities
Automation &amp;amp; Workflow Engineering
- Design, build, and maintain AI-powered automation workflows using n8n, Python, and integrated APIs including ConnectWise, Microsoft 365, SharePoint, and others
- Develop intelligent systems including multi-stage AI classification pipelines, automated compliance and billing review processes, and notification-driven monitoring tools
- Implement provider-abstracted AI architectures supporting OpenAI, Ollama, and other LLM providers with configurable confidence thresholds and fallback logic
- Build and iterate on internal tools that reduce manual effort, improve data accuracy, and create measurable operational efficiencies
Client Delivery &amp;amp; Engagement Support
- Lead delivery execution for AI/automation client engagements — managing implementation, iteration, and ongoing optimization through to completion in coordination with the practice team
- Participate in client discovery sessions as a technical resource, contributing to needs assessment, feasibility evaluation, and solution design under the direction of practice leadership
- Translate scoped business requirements into working systems and present delivery results to client stakeholders including operations leads and project sponsors
- Build reusable delivery frameworks, templates, and documentation that allow AI consulting engagements to scale efficiently across multiple clients
Enablement &amp;amp; Adoption
- Support AI adoption across internal teams by building training materials, playbooks, and purpose-built tools that make AI accessible to non-technical staff
- Track and report on AI adoption metrics, connecting usage data to business outcomes rather than vanity metrics
- Contribute to responsible AI use and utilization efforts — including Microsoft 365 Copilot — supporting the governance frameworks and usage guidelines established by practice leadership
What Success Looks Like — Year One
To be defined collaboratively with leadership. Initial indicators may include:
- Production-grade automation workflows deployed for internal K Group operations
- Client delivery engagements completed on time and within scope with documented outcomes
- Reusable delivery frameworks and templates in place for at least two service offering types
- AI adoption metrics established and actively tracked across internal teams
- Contributed to AI utilization efforts, including Microsoft 365 Copilot, with adoption measurably improving across internal teams
Experience &amp;amp; Qualifications
- Hands-on expertise in AI/automation platforms — n8n, LLM integrations, workflow orchestration, API development
- Proficiency with Python and modern integration patterns across business platforms including ConnectWise, Microsoft 365, and SharePoint
- Experience building production-grade systems — not just proof-of-concept tools — with attention to reliability, documentation, and maintainability
- Strong communicator capable of presenting technical work and outcomes to non-technical stakeholders
- Comfortable working within a defined strategic framework while exercising autonomy in execution and delivery decisions
- MSP or technology services background preferred
Reporting &amp;amp; Structure
Reports to: Director of Engineering
Team: AI Enablement Team
Location: Grand Rapids, MI</x:v>
      </x:c>
      <x:c r="AC63" s="68" t="str">
        <x:v>Not Applicable</x:v>
      </x:c>
      <x:c r="AD63" s="68" t="str">
        <x:v>Full-time</x:v>
      </x:c>
      <x:c r="AE63" s="68" t="str">
        <x:v>Engineering and Information Technology</x:v>
      </x:c>
      <x:c r="AF63" s="68" t="str">
        <x:v>Business Consulting and Services, IT Services and IT Consulting, and Professional Training and Coaching</x:v>
      </x:c>
      <x:c r="AG63" s="68" t="str">
        <x:v>https://www.linkedin.com/jobs/search/?position=1&amp;pageNum=0&amp;keywords=AI+Engineer&amp;location=United+States&amp;distance=0&amp;f_TPR=r604800</x:v>
      </x:c>
      <x:c r="AH63" s="68" t="str">
        <x:v>{'type': 'PostalAddress', 'streetAddress': '678 Front Ave N.W. Ste 003', 'addressLocality': 'Grand Rapids', 'addressRegion': 'Michigan', 'postalCode': '49504', 'addressCountry': 'US'}</x:v>
      </x:c>
      <x:c r="AI63" s="68" t="str">
        <x:v>https://www.kgroupcompanies.com</x:v>
      </x:c>
      <x:c r="AJ63" s="68" t="str">
        <x:v>Empowering Businesses with Innovative Technology Solutions Since 1980.</x:v>
      </x:c>
      <x:c r="AK63" s="68"/>
      <x:c r="AL63" s="68"/>
      <x:c r="AM63" s="68"/>
      <x:c r="AN63" s="68"/>
      <x:c r="AO63" s="68"/>
      <x:c r="AP63" s="68"/>
    </x:row>
    <x:row r="64" s="25" customFormat="1" ht="22" customHeight="1">
      <x:c r="A64" s="68" t="str">
        <x:v>4427866773</x:v>
      </x:c>
      <x:c r="B64" s="68" t="str">
        <x:v>AI Engineer</x:v>
      </x:c>
      <x:c r="C64" s="68" t="str">
        <x:v>Distyl</x:v>
      </x:c>
      <x:c r="D64" s="68" t="str">
        <x:v>San Francisco, CA</x:v>
      </x:c>
      <x:c r="E64" s="68" t="str">
        <x:v>Applied</x:v>
      </x:c>
      <x:c r="F64" s="68"/>
      <x:c r="G64" s="69"/>
      <x:c r="H64" s="85" t="str">
        <x:v>2026-08-08</x:v>
      </x:c>
      <x:c r="I64" s="85"/>
      <x:c r="J64" s="68" t="str">
        <x:v>200</x:v>
      </x:c>
      <x:c r="K64" s="70"/>
      <x:c r="L64" s="86"/>
      <x:c r="M64" s="87"/>
      <x:c r="N64" s="71"/>
      <x:c r="O64" s="88"/>
      <x:c r="P64" s="89"/>
      <x:c r="Q64" s="89"/>
      <x:c r="R64" s="89"/>
      <x:c r="S64" s="73"/>
      <x:c r="T64" s="68"/>
      <x:c r="U64" s="68" t="str">
        <x:v>https://www.linkedin.com/jobs/view/ai-engineer-at-distyl-4427866773?position=20&amp;pageNum=0&amp;refId=s48tP56EQnHdC6rkSZpaEg%3D%3D&amp;trackingId=ofVoi8QsMIGvM3%2BVySq%2BDw%3D%3D</x:v>
      </x:c>
      <x:c r="V64" s="68" t="str">
        <x:v>ofVoi8QsMIGvM3+VySq+Dw==</x:v>
      </x:c>
      <x:c r="W64" s="68" t="str">
        <x:v>s48tP56EQnHdC6rkSZpaEg==</x:v>
      </x:c>
      <x:c r="X64" s="68" t="str">
        <x:v>https://www.linkedin.com/company/distylai?trk=public_jobs_jserp-result_job-search-card-subtitle</x:v>
      </x:c>
      <x:c r="Y64" s="68" t="str">
        <x:v>https://media.licdn.com/dms/image/v2/D4D0BAQHKsTHAhRqr7A/company-logo_100_100/B4DZ5kxf9JGQAI-/0/1779807158294/distylai_logo?e=2147483647&amp;v=beta&amp;t=NOiUbc7iVG4jw7IxN2RqEyer8YEDgXg4yHeF8yh1048</x:v>
      </x:c>
      <x:c r="Z64" s="68"/>
      <x:c r="AA64" s="68" t="str">
        <x:v>&lt;strong&gt;About Distyl AI&lt;br&gt;&lt;br&gt;&lt;/strong&gt;Distyl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organizations.&lt;br&gt;&lt;br&gt;We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journeys.&lt;br&gt;&lt;br&gt;Distyl is backed by leading investors including Lightspeed Venture Partners, Khosla Ventures, Coatue, DST Global, and the board-members of 20+ F500s.&lt;br&gt;&lt;br&gt;&lt;strong&gt;What We Are Looking For&lt;br&gt;&lt;br&gt;&lt;/strong&gt;AI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constraints.&lt;br&gt;&lt;br&gt;AI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iteration.&lt;br&gt;&lt;br&gt;This is not a demo-building role. AI Engineers are expected to make AI systems work in practice: with users, data, constraints, and accountability for production outcomes.&lt;br&gt;&lt;br&gt;&lt;strong&gt;Key Responsibilities&lt;br&gt;&lt;br&gt;&lt;/strong&gt;&lt;ul&gt;&lt;li&gt;Build and operate AI systems deployed in customer environments, taking ownership of system behavior, reliability, and usefulness in production&lt;/li&gt;&lt;li&gt;Design and implement compound AI workflows that combine models, prompts, agents, tools, retrieval, evaluation, feedback loops, and execution into coherent production systems aligned with user and SME needs&lt;/li&gt;&lt;li&gt;Develop clean, maintainable Python services and application logic that integrate AI capabilities into customer workflows, data platforms, APIs, and existing applications&lt;/li&gt;&lt;li&gt;Operate on live systems by measuring behavior, identifying failure modes, debugging issues, and iterating rapidly to improve quality, reliability, and user value&lt;/li&gt;&lt;li&gt;Build evaluation frameworks, test cases, feedback mechanisms, and observability patterns that help teams understand and improve AI system performance over time&lt;/li&gt;&lt;li&gt;Work directly with customer stakeholders and subject matter experts to understand workflows, clarify requirements, reason about tradeoffs, and adapt systems as needs evolve&lt;/li&gt;&lt;li&gt;Use AI-native engineering tools to accelerate implementation, debugging, experimentation, data analysis, and system improvement&lt;/li&gt;&lt;li&gt;Collaborate with other AI Engineers, AI Strategists, and other Distillers to make pragmatic system design decisions that balance speed, robustness, maintainability, and customer impact&lt;/li&gt;&lt;li&gt;Take accountability for the production outcomes of the components, workflows, and systems you build&lt;br&gt;&lt;br&gt;&lt;/li&gt;&lt;/ul&gt;&lt;strong&gt;What We Require&lt;br&gt;&lt;br&gt;&lt;/strong&gt;&lt;ul&gt;&lt;li&gt;2+ years of software engineering experience&lt;/li&gt;&lt;li&gt;Ownership mentality for AI systems. You take responsibility for whether the systems you build deliver their intended value in production. You are comfortable making technical decisions, learning from system behavior, and owning the results of your work&lt;/li&gt;&lt;li&gt;Experience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boxes&lt;/li&gt;&lt;li&gt;Strong engineering fundamentals. You write clean, maintainable Python and are comfortable building production software systems. You understand core engineering concepts like versioning, debugging, testing, performance, code review, and production readiness&lt;/li&gt;&lt;li&gt;AI-native working style. You use AI tools daily to write and debug code, explore designs, analyze data, and automate repetitive work. You are curious about new model capabilities and techniques, and actively incorporate them into how you build and iterate on systems&lt;/li&gt;&lt;li&gt;Comfort in customer environments. You are able to work directly with customer teams, ask good questions, and adapt quickly to new domains. You communicate clearly about system behavior, limitations, and tradeoffs, and can operate effectively in high-trust, high-visibility situations&lt;/li&gt;&lt;li&gt;Pragmatic delivery mindset. You can navigate ambiguity, make progress with incomplete information, and balance speed with robustness when building systems that need to work for production users&lt;/li&gt;&lt;li&gt;Willingness to travel. Travel is typically 10–30%, depending on the project, customer needs, and your role on the engagement&lt;br&gt;&lt;br&gt;&lt;/li&gt;&lt;/ul&gt;&lt;strong&gt;What We Offer&lt;br&gt;&lt;br&gt;&lt;/strong&gt;&lt;ul&gt;&lt;li&gt;The base salary range for this role is $150K – $250K, depending on experience, location, and level. In addition to base compensation, this role is eligible for meaningful equity, along with a comprehensive benefits package&lt;/li&gt;&lt;li&gt;100% coverage of medical, dental, and vision insurance for employee and dependents&lt;/li&gt;&lt;li&gt;Flexible time off&lt;/li&gt;&lt;li&gt;Retirement and financial planning benefits, including access to pre-tax HSA, FSA, and commuter accounts, 401(k), and financial coaching resources&lt;/li&gt;&lt;li&gt;Comprehensive wellness benefits, including physical fitness, mental well-being, and fertility and family-building benefits through Carrot&lt;/li&gt;&lt;li&gt;Complimentary in-office lunches and snacks provided&lt;/li&gt;&lt;li&gt;Access to state-of-the-art AI models, generous usage of modern AI tools, and real-world business problems&lt;/li&gt;&lt;li&gt;Ownership of high-impact projects across top enterprises&lt;/li&gt;&lt;li&gt;A mission-driven, fast-moving culture that values curiosity, pragmatism, and excellence&lt;br&gt;&lt;br&gt;&lt;/li&gt;&lt;/ul&gt;Distyl has offices in San Francisco and New York. This role follows a hybrid collaboration model with 3+ days per week (Tuesday–Thursday) in‑office.&lt;br&gt;&lt;br&gt;We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apply.&lt;br&gt;&lt;br&gt;</x:v>
      </x:c>
      <x:c r="AB64" s="68" t="str">
        <x:v>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What We Are Looking For
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
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
This is not a demo-building role. AI Engineers are expected to make AI systems work in practice: with users, data, constraints, and accountability for production outcomes.
Key Responsibilities
- Build and operate AI systems deployed in customer environments, taking ownership of system behavior, reliability, and usefulness in production
- Design and implement compound AI workflows that combine models, prompts, agents, tools, retrieval, evaluation, feedback loops, and execution into coherent production systems aligned with user and SME needs
- Develop clean, maintainable Python services and application logic that integrate AI capabilities into customer workflows, data platforms, APIs, and existing applications
- Operate on live systems by measuring behavior, identifying failure modes, debugging issues, and iterating rapidly to improve quality, reliability, and user value
- Build evaluation frameworks, test cases, feedback mechanisms, and observability patterns that help teams understand and improve AI system performance over time
- Work directly with customer stakeholders and subject matter experts to understand workflows, clarify requirements, reason about tradeoffs, and adapt systems as needs evolve
- Use AI-native engineering tools to accelerate implementation, debugging, experimentation, data analysis, and system improvement
- Collaborate with other AI Engineers, AI Strategists, and other Distillers to make pragmatic system design decisions that balance speed, robustness, maintainability, and customer impact
- Take accountability for the production outcomes of the components, workflows, and systems you build
What We Require
- 2+ years of software engineering experience
- Ownership mentality for AI systems. You take responsibility for whether the systems you build deliver their intended value in production. You are comfortable making technical decisions, learning from system behavior, and owning the results of your work
- 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
- Strong engineering fundamentals. You write clean, maintainable Python and are comfortable building production software systems. You understand core engineering concepts like versioning, debugging, testing, performance, code review, and production readiness
- AI-native working style. You use AI tools daily to write and debug code, explore designs, analyze data, and automate repetitive work. You are curious about new model capabilities and techniques, and actively incorporate them into how you build and iterate on systems
- Comfort in customer environments. You are able to work directly with customer teams, ask good questions, and adapt quickly to new domains. You communicate clearly about system behavior, limitations, and tradeoffs, and can operate effectively in high-trust, high-visibility situations
- Pragmatic delivery mindset. You can navigate ambiguity, make progress with incomplete information, and balance speed with robustness when building systems that need to work for production users
- Willingness to travel. Travel is typically 10–30%, depending on the project, customer needs, and your role on the engagement
What We Offer
- The base salary range for this role is $150K – $250K, depending on experience, location, and level. In addition to base compensation, this role is eligible for meaningful equity, along with a comprehensive benefits package
- 100% coverage of medical, dental, and vision insurance for employee and dependents
- Flexible time off
- Retirement and financial planning benefits, including access to pre-tax HSA, FSA, and commuter accounts, 401(k), and financial coaching resources
- Comprehensive wellness benefits, including physical fitness, mental well-being, and fertility and family-building benefits through Carrot
- Complimentary in-office lunches and snacks provided
- Access to state-of-the-art AI models, generous usage of modern AI tools, and real-world business problems
- Ownership of high-impact projects across top enterprises
- A mission-driven, fast-moving culture that values curiosity, pragmatism, and excellence
Distyl has offices in San Francisco and New York. This role follows a hybrid collaboration model with 3+ days per week (Tuesday–Thursday) in‑office.
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
</x:v>
      </x:c>
      <x:c r="AC64" s="68" t="str">
        <x:v>Not Applicable</x:v>
      </x:c>
      <x:c r="AD64" s="68" t="str">
        <x:v>Full-time</x:v>
      </x:c>
      <x:c r="AE64" s="68" t="str">
        <x:v>Engineering and Information Technology</x:v>
      </x:c>
      <x:c r="AF64" s="68" t="str">
        <x:v>Software Development</x:v>
      </x:c>
      <x:c r="AG64" s="68" t="str">
        <x:v>https://www.linkedin.com/jobs/search/?position=1&amp;pageNum=0&amp;keywords=AI+Engineer&amp;location=United+States&amp;distance=0&amp;f_TPR=r604800</x:v>
      </x:c>
      <x:c r="AH64" s="68" t="str">
        <x:v>{'type': 'PostalAddress', 'streetAddress': '55 Hawthorne St', 'addressLocality': 'San Francisco', 'addressRegion': 'California', 'postalCode': '94105', 'addressCountry': 'US'}</x:v>
      </x:c>
      <x:c r="AI64" s="68" t="str">
        <x:v>https://www.distyl.ai/</x:v>
      </x:c>
      <x:c r="AJ64" s="68" t="str">
        <x:v>Architecting the AI-Native Enterprise</x:v>
      </x:c>
      <x:c r="AK64" s="68"/>
      <x:c r="AL64" s="68"/>
      <x:c r="AM64" s="68"/>
      <x:c r="AN64" s="68"/>
      <x:c r="AO64" s="68"/>
      <x:c r="AP64" s="68"/>
    </x:row>
    <x:row r="65" s="25" customFormat="1" ht="22" customHeight="1">
      <x:c r="A65" s="68" t="str">
        <x:v>4450362663</x:v>
      </x:c>
      <x:c r="B65" s="68" t="str">
        <x:v>Innovation AI Developer</x:v>
      </x:c>
      <x:c r="C65" s="68" t="str">
        <x:v>Saicon</x:v>
      </x:c>
      <x:c r="D65" s="68" t="str">
        <x:v>Redmond, WA</x:v>
      </x:c>
      <x:c r="E65" s="68" t="str">
        <x:v>Applied</x:v>
      </x:c>
      <x:c r="F65" s="68"/>
      <x:c r="G65" s="69"/>
      <x:c r="H65" s="85" t="str">
        <x:v>2026-08-10</x:v>
      </x:c>
      <x:c r="I65" s="85"/>
      <x:c r="J65" s="68" t="str">
        <x:v>192</x:v>
      </x:c>
      <x:c r="K65" s="70"/>
      <x:c r="L65" s="86"/>
      <x:c r="M65" s="87"/>
      <x:c r="N65" s="71"/>
      <x:c r="O65" s="88"/>
      <x:c r="P65" s="89"/>
      <x:c r="Q65" s="89"/>
      <x:c r="R65" s="89"/>
      <x:c r="S65" s="73"/>
      <x:c r="T65" s="68"/>
      <x:c r="U65" s="68" t="str">
        <x:v>https://www.linkedin.com/jobs/view/innovation-ai-developer-at-saicon-4450362663?position=23&amp;pageNum=0&amp;refId=s48tP56EQnHdC6rkSZpaEg%3D%3D&amp;trackingId=bLdlmMAUabQYz35FKG%2FHLQ%3D%3D</x:v>
      </x:c>
      <x:c r="V65" s="68" t="str">
        <x:v>bLdlmMAUabQYz35FKG/HLQ==</x:v>
      </x:c>
      <x:c r="W65" s="68" t="str">
        <x:v>s48tP56EQnHdC6rkSZpaEg==</x:v>
      </x:c>
      <x:c r="X65" s="68" t="str">
        <x:v>https://www.linkedin.com/company/saicon?trk=public_jobs_jserp-result_job-search-card-subtitle</x:v>
      </x:c>
      <x:c r="Y65" s="68" t="str">
        <x:v>https://media.licdn.com/dms/image/v2/D560BAQF0sgXVSQ8cxg/company-logo_100_100/B56ZlTwvbNG0AQ-/0/1758046910539/saicon_logo?e=2147483647&amp;v=beta&amp;t=cd_7OIx7CZJ2TC2Kew8ax9KwQh8fhZdjdmgWCLZ9gpk</x:v>
      </x:c>
      <x:c r="Z65" s="68"/>
      <x:c r="AA65" s="68" t="str">
        <x:v>&lt;br&gt;&lt;strong&gt;Summary of Position:&lt;br&gt;&lt;/strong&gt;Innovation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automation.&lt;br&gt;&amp;nbsp;&lt;br&gt;&lt;strong&gt;Essential Functions:&lt;/strong&gt;&lt;ul&gt;&lt;li&gt;Design and develop end-to-end AI-powered software applications for industrial use cases.&lt;/li&gt;&lt;li&gt;Build and deploy AI models to edge devices, embedded systems, and offline environments.&lt;/li&gt;&lt;li&gt;Own the full software development lifecycle: architecture, implementation, testing, deployment.&lt;/li&gt;&lt;li&gt;Develop internal AI agents and automation tools to improve operational efficiency.&lt;/li&gt;&lt;li&gt;Collaborate with cross-functional teams to gather requirements and deliver solutions.&lt;/li&gt;&lt;li&gt;Optimize model performance for production: inference latency, memory footprint, accuracy.&lt;/li&gt;&lt;li&gt;Set up and maintain customer demonstrations using IPCs, HMIs, cameras, sensors, PLCs.&lt;/li&gt;&lt;li&gt;Mentor junior developers through code reviews and technical guidance.&lt;/li&gt;&lt;li&gt;Evaluate and integrate emerging AI technologies and OOB tools for team productivity.&lt;/li&gt;&lt;li&gt;Lead POC development and deliver demos to customers and stakeholders.&lt;/li&gt;&lt;/ul&gt;&lt;strong&gt;Competencies:&lt;/strong&gt;&lt;ul&gt;&lt;li&gt;Ensures Accountability&lt;/li&gt;&lt;li&gt;Tech Savvy&lt;/li&gt;&lt;li&gt;Communicates Effectively&lt;/li&gt;&lt;li&gt;Values Differences&lt;/li&gt;&lt;li&gt;Customer Focus&lt;/li&gt;&lt;li&gt;Resourcefulness&lt;/li&gt;&lt;li&gt;Drives Results&lt;/li&gt;&lt;li&gt;Plans and Prioritizes&lt;/li&gt;&lt;li&gt;Decision Quality&lt;/li&gt;&lt;li&gt;Self-Development&lt;/li&gt;&lt;li&gt;Develops Talent (Mentorship)&lt;/li&gt;&lt;li&gt;Technical Leadership&lt;/li&gt;&lt;/ul&gt;&lt;strong&gt;Work Environment:&lt;/strong&gt;&lt;ul&gt;&lt;li&gt;This job operates in a professional office environment and an innovation lab setting. Employees set up customer demos using IPCs, HMIs, cameras, sensors, edge devices. May work in customer facilities or warehouse/production environments to deploy solutions.&lt;/li&gt;&lt;/ul&gt;&lt;strong&gt;Physical Demands:&lt;/strong&gt;&lt;ul&gt;&lt;li&gt;While performing duties, the employee communicates with co-workers, customers, and stakeholders. Must remain stationary 70% of the time. May lift equipment up to 25 lbs when setting up demonstrations.&lt;/li&gt;&lt;/ul&gt;&lt;strong&gt;Required Education and Experience:&lt;/strong&gt;&lt;ul&gt;&lt;li&gt;Bachelor's degree required. Master's degree preferred.&amp;nbsp;&amp;nbsp;&amp;nbsp;&amp;nbsp;&amp;nbsp;&amp;nbsp;&amp;nbsp;&amp;nbsp;&amp;nbsp;&amp;nbsp;&lt;/li&gt;&lt;li&gt;2-5 years of experience in AI development or software engineering with demonstrated project ownership.&lt;/li&gt;&lt;/ul&gt;&lt;strong&gt;Qualifications:&lt;br&gt;&lt;/strong&gt;&lt;strong&gt;Software Engineering:&lt;/strong&gt;&lt;ul&gt;&lt;li&gt;Proficient in Python; experience with C++, Java, Go, or Rust.&lt;/li&gt;&lt;li&gt;Strong fundamentals: data structures, algorithms, design patterns, clean code.&lt;/li&gt;&lt;li&gt;Experience with API development (FastAPI, Flask), Git, CI/CD, Docker.&lt;/li&gt;&lt;/ul&gt;&lt;strong&gt;AI/ML Development:&lt;/strong&gt;&lt;ul&gt;&lt;li&gt;Deep expertise in PyTorch or TensorFlow.&lt;/li&gt;&lt;li&gt;Strong computer vision and/or NLP understanding.&lt;/li&gt;&lt;li&gt;Experience with LLMs, VLMs, and agentic AI frameworks (LangChain, LangGraph).&lt;/li&gt;&lt;/ul&gt;&lt;strong&gt;Edge &amp;amp; Embedded&lt;/strong&gt;:&lt;ul&gt;&lt;li&gt;Experience deploying edge devices (NVIDIA Jetson, industrial IPCs).&lt;/li&gt;&lt;li&gt;Model optimization: quantization, pruning, ONNX/TensorRT.&lt;/li&gt;&lt;/ul&gt;&lt;strong&gt;AI Tools:&lt;/strong&gt;&lt;ul&gt;&lt;li&gt;Proficient with AI-assisted development tools (Claude Code, Cursor).&lt;/li&gt;&lt;li&gt;Experience building internal automation agents.&lt;/li&gt;&lt;/ul&gt;&lt;strong&gt;Desired:&lt;/strong&gt;&lt;ul&gt;&lt;li&gt;Experience in warehouse, logistics, or industrial automation.&lt;/li&gt;&lt;li&gt;Track record of shipping production AI systems.&lt;br&gt;&lt;/li&gt;&lt;/ul&gt;</x:v>
      </x:c>
      <x:c r="AB65" s="68" t="str">
        <x:v>
Summary of Position:
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
&amp;nbsp;
Essential Functions:
- Design and develop end-to-end AI-powered software applications for industrial use cases.
- Build and deploy AI models to edge devices, embedded systems, and offline environments.
- Own the full software development lifecycle: architecture, implementation, testing, deployment.
- Develop internal AI agents and automation tools to improve operational efficiency.
- Collaborate with cross-functional teams to gather requirements and deliver solutions.
- Optimize model performance for production: inference latency, memory footprint, accuracy.
- Set up and maintain customer demonstrations using IPCs, HMIs, cameras, sensors, PLCs.
- Mentor junior developers through code reviews and technical guidance.
- Evaluate and integrate emerging AI technologies and OOB tools for team productivity.
- Lead POC development and deliver demos to customers and stakeholders.Competencies:
- Ensures Accountability
- Tech Savvy
- Communicates Effectively
- Values Differences
- Customer Focus
- Resourcefulness
- Drives Results
- Plans and Prioritizes
- Decision Quality
- Self-Development
- Develops Talent (Mentorship)
- Technical LeadershipWork Environment:
- This job operates in a professional office environment and an innovation lab setting. Employees set up customer demos using IPCs, HMIs, cameras, sensors, edge devices. May work in customer facilities or warehouse/production environments to deploy solutions.Physical Demands:
- While performing duties, the employee communicates with co-workers, customers, and stakeholders. Must remain stationary 70% of the time. May lift equipment up to 25 lbs when setting up demonstrations.Required Education and Experience:
- Bachelor's degree required. Master's degree preferred.&amp;nbsp;&amp;nbsp;&amp;nbsp;&amp;nbsp;&amp;nbsp;&amp;nbsp;&amp;nbsp;&amp;nbsp;&amp;nbsp;&amp;nbsp;
- 2-5 years of experience in AI development or software engineering with demonstrated project ownership.Qualifications:
Software Engineering:
- Proficient in Python; experience with C++, Java, Go, or Rust.
- Strong fundamentals: data structures, algorithms, design patterns, clean code.
- Experience with API development (FastAPI, Flask), Git, CI/CD, Docker.AI/ML Development:
- Deep expertise in PyTorch or TensorFlow.
- Strong computer vision and/or NLP understanding.
- Experience with LLMs, VLMs, and agentic AI frameworks (LangChain, LangGraph).Edge &amp;amp; Embedded:
- Experience deploying edge devices (NVIDIA Jetson, industrial IPCs).
- Model optimization: quantization, pruning, ONNX/TensorRT.AI Tools:
- Proficient with AI-assisted development tools (Claude Code, Cursor).
- Experience building internal automation agents.Desired:
- Experience in warehouse, logistics, or industrial automation.
- Track record of shipping production AI systems.
</x:v>
      </x:c>
      <x:c r="AC65" s="68" t="str">
        <x:v>Mid-Senior level</x:v>
      </x:c>
      <x:c r="AD65" s="68" t="str">
        <x:v>Full-time</x:v>
      </x:c>
      <x:c r="AE65" s="68" t="str">
        <x:v>Engineering and Information Technology</x:v>
      </x:c>
      <x:c r="AF65" s="68" t="str">
        <x:v>Information Services, IT Services and IT Consulting, and Business Consulting and Services</x:v>
      </x:c>
      <x:c r="AG65" s="68" t="str">
        <x:v>https://www.linkedin.com/jobs/search/?position=1&amp;pageNum=0&amp;keywords=AI+Engineer&amp;location=United+States&amp;distance=0&amp;f_TPR=r604800</x:v>
      </x:c>
      <x:c r="AH65" s="68" t="str">
        <x:v>{'type': 'PostalAddress', 'streetAddress': '9300 West 110th', 'addressLocality': 'Overland Park', 'addressRegion': 'KS', 'postalCode': '66210', 'addressCountry': 'US'}</x:v>
      </x:c>
      <x:c r="AI65" s="68" t="str">
        <x:v>http://www.saiconinc.com</x:v>
      </x:c>
      <x:c r="AJ65" s="68"/>
      <x:c r="AK65" s="68"/>
      <x:c r="AL65" s="68"/>
      <x:c r="AM65" s="68"/>
      <x:c r="AN65" s="68"/>
      <x:c r="AO65" s="68"/>
      <x:c r="AP65" s="68"/>
    </x:row>
    <x:row r="66" s="25" customFormat="1" ht="22" customHeight="1">
      <x:c r="A66" s="68" t="str">
        <x:v>4450621891</x:v>
      </x:c>
      <x:c r="B66" s="68" t="str">
        <x:v>AI Engineer</x:v>
      </x:c>
      <x:c r="C66" s="68" t="str">
        <x:v>C2 Labs, Inc.</x:v>
      </x:c>
      <x:c r="D66" s="68" t="str">
        <x:v>Knoxville, TN</x:v>
      </x:c>
      <x:c r="E66" s="68" t="str">
        <x:v>Applied</x:v>
      </x:c>
      <x:c r="F66" s="68"/>
      <x:c r="G66" s="69"/>
      <x:c r="H66" s="85" t="str">
        <x:v>2026-08-06</x:v>
      </x:c>
      <x:c r="I66" s="85"/>
      <x:c r="J66" s="68" t="str">
        <x:v>123</x:v>
      </x:c>
      <x:c r="K66" s="70"/>
      <x:c r="L66" s="86"/>
      <x:c r="M66" s="87"/>
      <x:c r="N66" s="71"/>
      <x:c r="O66" s="88"/>
      <x:c r="P66" s="89"/>
      <x:c r="Q66" s="89"/>
      <x:c r="R66" s="89"/>
      <x:c r="S66" s="73"/>
      <x:c r="T66" s="68"/>
      <x:c r="U66" s="68" t="str">
        <x:v>https://www.linkedin.com/jobs/view/ai-engineer-at-c2-labs-inc-4450621891?position=15&amp;pageNum=0&amp;refId=s48tP56EQnHdC6rkSZpaEg%3D%3D&amp;trackingId=sel%2B0y%2Bstm3iJsFgjDVKPQ%3D%3D</x:v>
      </x:c>
      <x:c r="V66" s="68" t="str">
        <x:v>sel+0y+stm3iJsFgjDVKPQ==</x:v>
      </x:c>
      <x:c r="W66" s="68" t="str">
        <x:v>s48tP56EQnHdC6rkSZpaEg==</x:v>
      </x:c>
      <x:c r="X66" s="68" t="str">
        <x:v>https://www.linkedin.com/company/c2-labs-inc-?trk=public_jobs_jserp-result_job-search-card-subtitle</x:v>
      </x:c>
      <x:c r="Y66" s="68" t="str">
        <x:v>https://media.licdn.com/dms/image/v2/D4E0BAQFmj-C05flE1g/company-logo_100_100/B4EZ47cxjxGwAI-/0/1779113859810/c2_labs_inc__logo?e=2147483647&amp;v=beta&amp;t=dWyKbCvLRVuMMMEAO9Z-GvDMP_mL6qhbpQ-se-oj_QU</x:v>
      </x:c>
      <x:c r="Z66" s="68"/>
      <x:c r="AA66" s="68" t="str">
        <x:v>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role.&lt;br&gt;&lt;br&gt;Preferred to live in the Knoxville, Tennessee metro area (or willing to relocate).&lt;br&gt;&lt;br&gt;&lt;strong&gt;Position Summary&lt;br&gt;&lt;br&gt;&lt;/strong&gt;C2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day.&lt;br&gt;&lt;br&gt;&lt;strong&gt;What You'll Do&lt;br&gt;&lt;br&gt;&lt;/strong&gt;&lt;ul&gt;&lt;li&gt; Build and ship AI-powered products, agents, copilots, and automation that create measurable operational impact.&lt;/li&gt;&lt;li&gt; Turn complex business and mission workflows into simple, reliable technology products.&lt;/li&gt;&lt;li&gt; Design and implement modern AI architectures (agents, orchestration, RAG/knowledge systems, evaluation, and human-in-the-loop controls).&lt;/li&gt;&lt;li&gt; Integrate AI with enterprise systems, APIs, cloud services, and data sources so solutions work in the real world.&lt;/li&gt;&lt;li&gt; Drive digital transformation by replacing slow manual processes with automated, intelligent workflows.&lt;/li&gt;&lt;li&gt; Build with strong governance in mind: secure use of AI, clear human decision points, auditability, and responsible automation.&lt;/li&gt;&lt;li&gt; Elevate customer experience and service: make tools intuitive, reliable, and easy for operators to adopt and trust.&lt;/li&gt;&lt;li&gt; Support sales and business development with technical discovery, demos, solution framing, and credible delivery plans.&lt;/li&gt;&lt;li&gt; Contribute across the stack as needed: software, data, cloud/infrastructure, DevOps, security, product and project management, and analysis.&lt;/li&gt;&lt;li&gt; Raise the bar for quality: secure by design, observable, maintainable, and proven in production.&lt;/li&gt;&lt;li&gt; Capture what works as reusable product patterns so the whole company moves faster.&lt;br&gt;&lt;br&gt;&lt;/li&gt;&lt;/ul&gt;&lt;strong&gt;What We're Looking For&lt;br&gt;&lt;br&gt;&lt;/strong&gt;&lt;ul&gt;&lt;li&gt; U.S. Citizenship required.&lt;/li&gt;&lt;li&gt; Builder mindset: you ship products, not just prototypes.&lt;/li&gt;&lt;li&gt; 3–5 years building software, platforms, cloud systems, or applied technology products (or equivalent intensity).&lt;/li&gt;&lt;li&gt; 1–3 years shipping AI, automation, or LLM-powered products in production.&lt;/li&gt;&lt;li&gt; Hands-on experience with AI/LLM systems (agents, RAG, automation, evaluation).&lt;/li&gt;&lt;li&gt; Strong software engineering skills (Python required; modern web/TypeScript a plus).&lt;/li&gt;&lt;li&gt; Cloud delivery experience (AWS and/or Azure), APIs, CI/CD, and Infrastructure as Code.&lt;/li&gt;&lt;li&gt; Comfort spanning multiple domains: engineering, data, security, governance, product, and project delivery.&lt;/li&gt;&lt;li&gt; Customer-oriented mindset: experience and service quality matter as much as technical cleverness.&lt;/li&gt;&lt;li&gt; Clear communication with technical and non-technical stakeholders, including sales and business development conversations.&lt;/li&gt;&lt;li&gt; Excitement about AI-driven transformation in government contracting and government agency environments.&lt;br&gt;&lt;br&gt;&lt;/li&gt;&lt;/ul&gt;&lt;strong&gt;Nice to Have&lt;br&gt;&lt;br&gt;&lt;/strong&gt;&lt;ul&gt;&lt;li&gt; Bachelor’s degree in a technical field or equivalent practical experience.&lt;/li&gt;&lt;li&gt; Working understanding of UX/UI design principles.&lt;/li&gt;&lt;li&gt; Active Top Secret (TS) clearance preferred.&lt;/li&gt;&lt;li&gt; Experience delivering technology in government contracting or government agency settings.&lt;/li&gt;&lt;li&gt; Familiarity with compliance-aware environments (FedRAMP, RMF, NIST, CMMC-adjacent).&lt;/li&gt;&lt;li&gt; Experience with Microsoft AI/automation ecosystems (Copilot Studio, Power Platform) or similar enterprise AI platforms.&lt;/li&gt;&lt;li&gt; Prior forward deployed, field, or customer-embedded engineering experience.&lt;/li&gt;&lt;li&gt; Prior support of sales cycles, proposals, or business development technical pursuits.&lt;br&gt;&lt;br&gt;&lt;/li&gt;&lt;/ul&gt;&lt;strong&gt;Why C2 Labs?&lt;br&gt;&lt;br&gt;&lt;/strong&gt;You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one.&lt;br&gt;&lt;br&gt;&lt;strong&gt;EEO STATEMENT:&lt;br&gt;&lt;br&gt;&lt;/strong&gt;We are an equal opportunity employer. All qualified applicants will be considered without discrimination based on race, color, religion, sex, national origin, age, disability, or protected veteran status. Employment offers will be contingent on passing a pre-employment drug screen.</x:v>
      </x:c>
      <x:c r="AB66" s="68" t="str">
        <x:v>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
Preferred to live in the Knoxville, Tennessee metro area (or willing to relocate).
Position Summary
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
What You'll Do
-  Build and ship AI-powered products, agents, copilots, and automation that create measurable operational impact.
-  Turn complex business and mission workflows into simple, reliable technology products.
-  Design and implement modern AI architectures (agents, orchestration, RAG/knowledge systems, evaluation, and human-in-the-loop controls).
-  Integrate AI with enterprise systems, APIs, cloud services, and data sources so solutions work in the real world.
-  Drive digital transformation by replacing slow manual processes with automated, intelligent workflows.
-  Build with strong governance in mind: secure use of AI, clear human decision points, auditability, and responsible automation.
-  Elevate customer experience and service: make tools intuitive, reliable, and easy for operators to adopt and trust.
-  Support sales and business development with technical discovery, demos, solution framing, and credible delivery plans.
-  Contribute across the stack as needed: software, data, cloud/infrastructure, DevOps, security, product and project management, and analysis.
-  Raise the bar for quality: secure by design, observable, maintainable, and proven in production.
-  Capture what works as reusable product patterns so the whole company moves faster.
What We're Looking For
-  U.S. Citizenship required.
-  Builder mindset: you ship products, not just prototypes.
-  3–5 years building software, platforms, cloud systems, or applied technology products (or equivalent intensity).
-  1–3 years shipping AI, automation, or LLM-powered products in production.
-  Hands-on experience with AI/LLM systems (agents, RAG, automation, evaluation).
-  Strong software engineering skills (Python required; modern web/TypeScript a plus).
-  Cloud delivery experience (AWS and/or Azure), APIs, CI/CD, and Infrastructure as Code.
-  Comfort spanning multiple domains: engineering, data, security, governance, product, and project delivery.
-  Customer-oriented mindset: experience and service quality matter as much as technical cleverness.
-  Clear communication with technical and non-technical stakeholders, including sales and business development conversations.
-  Excitement about AI-driven transformation in government contracting and government agency environments.
Nice to Have
-  Bachelor’s degree in a technical field or equivalent practical experience.
-  Working understanding of UX/UI design principles.
-  Active Top Secret (TS) clearance preferred.
-  Experience delivering technology in government contracting or government agency settings.
-  Familiarity with compliance-aware environments (FedRAMP, RMF, NIST, CMMC-adjacent).
-  Experience with Microsoft AI/automation ecosystems (Copilot Studio, Power Platform) or similar enterprise AI platforms.
-  Prior forward deployed, field, or customer-embedded engineering experience.
-  Prior support of sales cycles, proposals, or business development technical pursuits.
Why C2 Labs?
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
EEO STATEMENT:
We are an equal opportunity employer. All qualified applicants will be considered without discrimination based on race, color, religion, sex, national origin, age, disability, or protected veteran status. Employment offers will be contingent on passing a pre-employment drug screen.</x:v>
      </x:c>
      <x:c r="AC66" s="68" t="str">
        <x:v>Not Applicable</x:v>
      </x:c>
      <x:c r="AD66" s="68" t="str">
        <x:v>Full-time</x:v>
      </x:c>
      <x:c r="AE66" s="68" t="str">
        <x:v>Engineering and Information Technology</x:v>
      </x:c>
      <x:c r="AF66" s="68" t="str">
        <x:v>Information Technology &amp; Services</x:v>
      </x:c>
      <x:c r="AG66" s="68" t="str">
        <x:v>https://www.linkedin.com/jobs/search/?position=1&amp;pageNum=0&amp;keywords=AI+Engineer&amp;location=United+States&amp;distance=0&amp;f_TPR=r604800</x:v>
      </x:c>
      <x:c r="AH66" s="68" t="str">
        <x:v>{'type': 'PostalAddress', 'streetAddress': '1775 Tysons Blvd', 'addressLocality': 'Tysons', 'addressRegion': 'Virginia', 'postalCode': '22102', 'addressCountry': 'US'}</x:v>
      </x:c>
      <x:c r="AI66" s="68" t="str">
        <x:v>https://www.c2labs.com</x:v>
      </x:c>
      <x:c r="AJ66" s="68" t="str">
        <x:v>Your IT transformation partner specializing in full stack development, automation/DevOps, and cybersecurity compliance</x:v>
      </x:c>
      <x:c r="AK66" s="68"/>
      <x:c r="AL66" s="68"/>
      <x:c r="AM66" s="68"/>
      <x:c r="AN66" s="68"/>
      <x:c r="AO66" s="68"/>
      <x:c r="AP66" s="68"/>
    </x:row>
    <x:row r="67" s="25" customFormat="1" ht="22" customHeight="1">
      <x:c r="A67" s="68" t="str">
        <x:v>4416900989</x:v>
      </x:c>
      <x:c r="B67" s="68" t="str">
        <x:v>AI Developer</x:v>
      </x:c>
      <x:c r="C67" s="68" t="str">
        <x:v>Family Dollar</x:v>
      </x:c>
      <x:c r="D67" s="68" t="str">
        <x:v>Chesapeake, VA</x:v>
      </x:c>
      <x:c r="E67" s="68" t="str">
        <x:v>Applied</x:v>
      </x:c>
      <x:c r="F67" s="68"/>
      <x:c r="G67" s="69"/>
      <x:c r="H67" s="85" t="str">
        <x:v>2026-08-06</x:v>
      </x:c>
      <x:c r="I67" s="85"/>
      <x:c r="J67" s="68" t="str">
        <x:v>200</x:v>
      </x:c>
      <x:c r="K67" s="70" t="str">
        <x:v>$121,000.00/yr - $136,000.00/yr</x:v>
      </x:c>
      <x:c r="L67" s="86"/>
      <x:c r="M67" s="87"/>
      <x:c r="N67" s="71"/>
      <x:c r="O67" s="88"/>
      <x:c r="P67" s="89"/>
      <x:c r="Q67" s="89"/>
      <x:c r="R67" s="89"/>
      <x:c r="S67" s="73"/>
      <x:c r="T67" s="68"/>
      <x:c r="U67" s="68" t="str">
        <x:v>https://www.linkedin.com/jobs/view/ai-developer-at-family-dollar-4416900989?position=18&amp;pageNum=0&amp;refId=s48tP56EQnHdC6rkSZpaEg%3D%3D&amp;trackingId=HhNLPSL7yLvKwfltNRppMw%3D%3D</x:v>
      </x:c>
      <x:c r="V67" s="68" t="str">
        <x:v>HhNLPSL7yLvKwfltNRppMw==</x:v>
      </x:c>
      <x:c r="W67" s="68" t="str">
        <x:v>s48tP56EQnHdC6rkSZpaEg==</x:v>
      </x:c>
      <x:c r="X67" s="68" t="str">
        <x:v>https://www.linkedin.com/company/family-dollar?trk=public_jobs_jserp-result_job-search-card-subtitle</x:v>
      </x:c>
      <x:c r="Y67" s="68" t="str">
        <x:v>https://media.licdn.com/dms/image/v2/C4E0BAQE7DQHTEsekZQ/company-logo_100_100/company-logo_100_100/0/1630576929441/family_dollar_logo?e=2147483647&amp;v=beta&amp;t=Wx6569VtalccVBqGKXGw8klKoAjaCspLV66MhtsYmQQ</x:v>
      </x:c>
      <x:c r="Z67" s="68"/>
      <x:c r="AA67" s="68" t="str">
        <x:v>&lt;p&gt;Job Description&lt;/p&gt;&lt;p&gt;&lt;em&gt;Candidates must be authorized to work in the United States without the need for current or future visa sponsorship.&lt;/em&gt;&lt;/p&gt;&lt;p&gt;General Summary:&lt;/p&gt;&lt;p&gt;The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systems.&lt;/p&gt;&lt;p&gt;**This position is fully onsite.&lt;/p&gt;&lt;p&gt;Principal Duties &amp;amp; Responsibilities:&lt;/p&gt;&lt;ul&gt;&lt;li&gt;Design, build, and deploy production AI applications on Google Cloud Platform, applying machine learning and generative AI techniques to deliver solutions across merchandising, supply chain, store operations, finance, and customer experience.&lt;/li&gt;&lt;li&gt;Develop agentic AI applications using modern agent development kits and frameworks (e.g., Google Agent Development Kit, Gemini Agent Platform, LangGraph), including multi-agent workflows, tool integration, and human-in-the-loop checkpoints.&lt;/li&gt;&lt;li&gt;Build and operate retrieval-augmented generation (RAG) solutions that ground LLMs in Family Dollar's enterprise data, including ingestion, embeddings, vector and hybrid search, reranking, and evaluation.&lt;/li&gt;&lt;li&gt;Establish and maintain MLOps pipelines for AI workloads, including CI/CD, model and prompt versioning, evaluation harnesses, monitoring, cost controls, and rollback procedures.&lt;/li&gt;&lt;li&gt;Implement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compliance.&lt;/li&gt;&lt;li&gt;Evaluate vendor and partner AI products for fit within Family Dollar's IT estate; build proofs of concept, run technical bake-offs, and produce clear recommendations.&lt;/li&gt;&lt;li&gt;Execute experiments to vet emerging AI capabilities and determine their internal product-market fit.&lt;/li&gt;&lt;li&gt;Deploy and maintain production-grade AI agents capable of reasoning, tool-use, and multi-step task execution.&lt;/li&gt;&lt;li&gt;Manage the full lifecycle of your code, from initial prompt engineering and fine-tuning to CI/CD and real-time monitoring of agent performance.&lt;/li&gt;&lt;li&gt;Mentor junior engineers and share knowledge across the AI and Automation team.&lt;/li&gt;&lt;li&gt;Partner with IT support teams to co-own AI application support, including on-call coverage, while progressively transitioning ownership through SOPs, runbooks, and helpdesk documentation&lt;/li&gt;&lt;li&gt;Performs other duties as assigned&lt;/li&gt;&lt;/ul&gt;&lt;p&gt;&lt;br&gt;&lt;/p&gt;&lt;p&gt;&lt;br&gt;&lt;/p&gt;&lt;p&gt;&lt;strong&gt;&lt;u&gt;Position Requirements:&lt;/u&gt;&lt;/strong&gt;&lt;/p&gt;&lt;ul&gt;&lt;li&gt;Fully onsite office work environment&lt;/li&gt;&lt;/ul&gt;&lt;p&gt;&lt;br&gt;&lt;/p&gt;&lt;p&gt;Minimum Requirements:&lt;/p&gt;&lt;p&gt;&lt;br&gt;&lt;/p&gt;&lt;ul&gt;&lt;li&gt;Bachelor’s degree in Computer Science, Information Systems, Engineering, or related field (Master’s preferred).&lt;/li&gt;&lt;li&gt;2+ years of experience developing AI solutions.&lt;/li&gt;&lt;li&gt;Write clean, well-tested, well-documented Python code; conduct code reviews; and contribute to internal libraries, templates, and engineering best practices.&lt;/li&gt;&lt;li&gt;Ability in developing, presenting and communicating technical concepts to varying audiences.&lt;/li&gt;&lt;li&gt;Possesses a sense of urgency as well as the ability to motivate a team towards achieving results in a dynamic environment&lt;/li&gt;&lt;li&gt;Experience in retail, supply chain, or large-scale operational environments within retail systems (POS, ERP, CRM, inventory, supply chain, etc).&lt;/li&gt;&lt;li&gt;Advanced knowledge of recent GenAI platform advancements from top providers as well as equivalent platforms hyperscalers&lt;/li&gt;&lt;li&gt;Experienced in responsible AI practices, model governance, and frameworks for evaluating LLM safety and accuracy.&lt;/li&gt;&lt;li&gt;Contributions to open-source AI projects or relevant publications&lt;/li&gt;&lt;/ul&gt;&lt;p&gt;&lt;br&gt;&lt;/p&gt;&lt;p&gt;“Projected Salary Range: $121,000 to $136,000”. &lt;/p&gt;&lt;p&gt;&lt;br&gt;&lt;/p&gt;&lt;p&gt;Family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disabilities.&lt;/p&gt;</x:v>
      </x:c>
      <x:c r="AB67" s="68" t="str">
        <x:v>
Job Description
Candidates must be authorized to work in the United States without the need for current or future visa sponsorship.
General Summary:
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
**This position is fully onsite.
Principal Duties &amp;amp; Responsibilities:
- Design, build, and deploy production AI applications on Google Cloud Platform, applying machine learning and generative AI techniques to deliver solutions across merchandising, supply chain, store operations, finance, and customer experience.
- Develop agentic AI applications using modern agent development kits and frameworks (e.g., Google Agent Development Kit, Gemini Agent Platform, LangGraph), including multi-agent workflows, tool integration, and human-in-the-loop checkpoints.
- Build and operate retrieval-augmented generation (RAG) solutions that ground LLMs in Family Dollar's enterprise data, including ingestion, embeddings, vector and hybrid search, reranking, and evaluation.
- Establish and maintain MLOps pipelines for AI workloads, including CI/CD, model and prompt versioning, evaluation harnesses, monitoring, cost controls, and rollback procedures.
- 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
- Evaluate vendor and partner AI products for fit within Family Dollar's IT estate; build proofs of concept, run technical bake-offs, and produce clear recommendations.
- Execute experiments to vet emerging AI capabilities and determine their internal product-market fit.
- Deploy and maintain production-grade AI agents capable of reasoning, tool-use, and multi-step task execution.
- Manage the full lifecycle of your code, from initial prompt engineering and fine-tuning to CI/CD and real-time monitoring of agent performance.
- Mentor junior engineers and share knowledge across the AI and Automation team.
- Partner with IT support teams to co-own AI application support, including on-call coverage, while progressively transitioning ownership through SOPs, runbooks, and helpdesk documentation
- Performs other duties as assigned
Position Requirements:
- Fully onsite office work environment
Minimum Requirements:
- Bachelor’s degree in Computer Science, Information Systems, Engineering, or related field (Master’s preferred).
- 2+ years of experience developing AI solutions.
- Write clean, well-tested, well-documented Python code; conduct code reviews; and contribute to internal libraries, templates, and engineering best practices.
- Ability in developing, presenting and communicating technical concepts to varying audiences.
- Possesses a sense of urgency as well as the ability to motivate a team towards achieving results in a dynamic environment
- Experience in retail, supply chain, or large-scale operational environments within retail systems (POS, ERP, CRM, inventory, supply chain, etc).
- Advanced knowledge of recent GenAI platform advancements from top providers as well as equivalent platforms hyperscalers
- Experienced in responsible AI practices, model governance, and frameworks for evaluating LLM safety and accuracy.
- Contributions to open-source AI projects or relevant publications
“Projected Salary Range: $121,000 to $136,000”. 
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x:v>
      </x:c>
      <x:c r="AC67" s="68" t="str">
        <x:v>Mid-Senior level</x:v>
      </x:c>
      <x:c r="AD67" s="68" t="str">
        <x:v>Full-time</x:v>
      </x:c>
      <x:c r="AE67" s="68" t="str">
        <x:v>Information Technology</x:v>
      </x:c>
      <x:c r="AF67" s="68" t="str">
        <x:v>Retail</x:v>
      </x:c>
      <x:c r="AG67" s="68" t="str">
        <x:v>https://www.linkedin.com/jobs/search/?position=1&amp;pageNum=0&amp;keywords=AI+Engineer&amp;location=United+States&amp;distance=0&amp;f_TPR=r604800</x:v>
      </x:c>
      <x:c r="AH67" s="68" t="str">
        <x:v>{'type': 'PostalAddress', 'streetAddress': '510 Volvo Pkwy', 'addressLocality': 'Chesapeake', 'addressRegion': 'Virginia', 'postalCode': '23320', 'addressCountry': 'US'}</x:v>
      </x:c>
      <x:c r="AI67" s="68" t="str">
        <x:v>https://www.familydollar.com</x:v>
      </x:c>
      <x:c r="AJ67" s="68"/>
      <x:c r="AK67" s="68"/>
      <x:c r="AL67" s="68"/>
      <x:c r="AM67" s="68"/>
      <x:c r="AN67" s="68"/>
      <x:c r="AO67" s="68"/>
      <x:c r="AP67" s="68"/>
    </x:row>
    <x:row r="68" s="25" customFormat="1" ht="22" customHeight="1">
      <x:c r="A68" s="68" t="str">
        <x:v>4451561554</x:v>
      </x:c>
      <x:c r="B68" s="68" t="str">
        <x:v>AI/ML Engineer</x:v>
      </x:c>
      <x:c r="C68" s="68" t="str">
        <x:v>Bain &amp; Company</x:v>
      </x:c>
      <x:c r="D68" s="68" t="str">
        <x:v>Chicago, IL</x:v>
      </x:c>
      <x:c r="E68" s="68" t="str">
        <x:v>Applied</x:v>
      </x:c>
      <x:c r="F68" s="68"/>
      <x:c r="G68" s="69"/>
      <x:c r="H68" s="85" t="str">
        <x:v>2026-08-10</x:v>
      </x:c>
      <x:c r="I68" s="85"/>
      <x:c r="J68" s="68" t="str">
        <x:v>200</x:v>
      </x:c>
      <x:c r="K68" s="70"/>
      <x:c r="L68" s="86"/>
      <x:c r="M68" s="87"/>
      <x:c r="N68" s="71"/>
      <x:c r="O68" s="88"/>
      <x:c r="P68" s="89"/>
      <x:c r="Q68" s="89"/>
      <x:c r="R68" s="89"/>
      <x:c r="S68" s="73"/>
      <x:c r="T68" s="68"/>
      <x:c r="U68" s="68" t="str">
        <x:v>https://www.linkedin.com/jobs/view/ai-ml-engineer-at-bain-company-4451561554?position=19&amp;pageNum=0&amp;refId=s48tP56EQnHdC6rkSZpaEg%3D%3D&amp;trackingId=v80YP49A%2BN3an%2BpgH5%2BU%2Bg%3D%3D</x:v>
      </x:c>
      <x:c r="V68" s="68" t="str">
        <x:v>v80YP49A+N3an+pgH5+U+g==</x:v>
      </x:c>
      <x:c r="W68" s="68" t="str">
        <x:v>s48tP56EQnHdC6rkSZpaEg==</x:v>
      </x:c>
      <x:c r="X68" s="68" t="str">
        <x:v>https://www.linkedin.com/company/bain-and-company?trk=public_jobs_jserp-result_job-search-card-subtitle</x:v>
      </x:c>
      <x:c r="Y68" s="68" t="str">
        <x:v>https://media.licdn.com/dms/image/v2/D560BAQHJWWQNCmnqKg/company-logo_100_100/company-logo_100_100/0/1719929153718/bain_and_company_logo?e=2147483647&amp;v=beta&amp;t=hOsU1bVj9dJZI9c0TujGpXV69c1dwdAsI9khve8rwOk</x:v>
      </x:c>
      <x:c r="Z68" s="68"/>
      <x:c r="AA68" s="68" t="str">
        <x:v>&lt;p&gt;&lt;span&gt;&lt;strong&gt;&lt;span&gt;WHAT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v>
      </x:c>
      <x:c r="AB68" s="68" t="str">
        <x:v>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v>
      </x:c>
      <x:c r="AC68" s="68" t="str">
        <x:v>Not Applicable</x:v>
      </x:c>
      <x:c r="AD68" s="68" t="str">
        <x:v>Full-time</x:v>
      </x:c>
      <x:c r="AE68" s="68" t="str">
        <x:v>Engineering</x:v>
      </x:c>
      <x:c r="AF68" s="68" t="str">
        <x:v>Business Consulting and Services</x:v>
      </x:c>
      <x:c r="AG68" s="68" t="str">
        <x:v>https://www.linkedin.com/jobs/search/?position=1&amp;pageNum=0&amp;keywords=AI+Engineer&amp;location=United+States&amp;distance=0&amp;f_TPR=r604800</x:v>
      </x:c>
      <x:c r="AH68" s="68" t="str">
        <x:v>{'type': 'PostalAddress', 'streetAddress': '350 Boylston St', 'addressLocality': 'Boston', 'addressRegion': 'Massachusetts', 'postalCode': '02116', 'addressCountry': 'US'}</x:v>
      </x:c>
      <x:c r="AI68" s="68" t="str">
        <x:v>http://www.bain.com</x:v>
      </x:c>
      <x:c r="AJ68" s="68"/>
      <x:c r="AK68" s="68"/>
      <x:c r="AL68" s="68"/>
      <x:c r="AM68" s="68"/>
      <x:c r="AN68" s="68"/>
      <x:c r="AO68" s="68"/>
      <x:c r="AP68" s="68"/>
    </x:row>
    <x:row r="69" s="25" customFormat="1" ht="22" customHeight="1">
      <x:c r="A69" s="68" t="str">
        <x:v>4452487414</x:v>
      </x:c>
      <x:c r="B69" s="68" t="str">
        <x:v>AI Solutions Engineer</x:v>
      </x:c>
      <x:c r="C69" s="68" t="str">
        <x:v>Allegion</x:v>
      </x:c>
      <x:c r="D69" s="68" t="str">
        <x:v>Carmel, IN</x:v>
      </x:c>
      <x:c r="E69" s="68" t="str">
        <x:v>Failed</x:v>
      </x:c>
      <x:c r="F69" s="68"/>
      <x:c r="G69" s="69"/>
      <x:c r="H69" s="85" t="str">
        <x:v>2026-08-11</x:v>
      </x:c>
      <x:c r="I69" s="85"/>
      <x:c r="J69" s="68" t="str">
        <x:v>80</x:v>
      </x:c>
      <x:c r="K69" s="70"/>
      <x:c r="L69" s="86"/>
      <x:c r="M69" s="87"/>
      <x:c r="N69" s="71"/>
      <x:c r="O69" s="88"/>
      <x:c r="P69" s="89"/>
      <x:c r="Q69" s="89"/>
      <x:c r="R69" s="89"/>
      <x:c r="S69" s="73"/>
      <x:c r="T69" s="68"/>
      <x:c r="U69" s="68" t="str">
        <x:v>https://www.linkedin.com/jobs/view/ai-solutions-engineer-at-allegion-4452487414?position=16&amp;pageNum=0&amp;refId=s48tP56EQnHdC6rkSZpaEg%3D%3D&amp;trackingId=9xdHykCvYbJlaVViBn7cUA%3D%3D</x:v>
      </x:c>
      <x:c r="V69" s="68" t="str">
        <x:v>9xdHykCvYbJlaVViBn7cUA==</x:v>
      </x:c>
      <x:c r="W69" s="68" t="str">
        <x:v>s48tP56EQnHdC6rkSZpaEg==</x:v>
      </x:c>
      <x:c r="X69" s="68" t="str">
        <x:v>https://ie.linkedin.com/company/allegion?trk=public_jobs_jserp-result_job-search-card-subtitle</x:v>
      </x:c>
      <x:c r="Y69" s="68" t="str">
        <x:v>https://media.licdn.com/dms/image/v2/D560BAQE_Z38_S8eNZw/company-logo_100_100/company-logo_100_100/0/1692288532264/allegion_logo?e=2147483647&amp;v=beta&amp;t=0i7S6LfHR3q5SmPA-87q32W5fnoNSMZMa9wyikAijxs</x:v>
      </x:c>
      <x:c r="Z69" s="68"/>
      <x:c r="AA69" s="68" t="str">
        <x:v>&lt;strong&gt;Creating Peace of Mind by Pioneering Safety and Security&lt;br&gt;&lt;br&gt;&lt;/strong&gt;&lt;em&gt;At Allegion, we help keep the people you know and love safe and secure where they live, work and visit. With more than 40 brands, 14,000+ employees globally and products sold in 130 countries, we specialize in security around the doorway and beyond. &lt;br&gt;&lt;br&gt;&lt;/em&gt;&lt;em&gt;Additionally,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cultures.&lt;br&gt;&lt;br&gt;&lt;/em&gt;&lt;strong&gt;Job Title &lt;br&gt;&lt;br&gt;&lt;/strong&gt;The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deliver.&lt;br&gt;&lt;br&gt;&lt;em&gt;Qualified candidates must be legally authorized to be employed in the United States. The company does not intend to provide sponsorship for employment visa status (e.g., H-1B, TN, etc.) for this employment position. &lt;br&gt;&lt;br&gt;&lt;/em&gt;At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role.&lt;br&gt;&lt;br&gt;We are committed to fostering a healthy work-life balance and building meaningful connections, ensuring you have the tools, resources, and support needed to excel in any environment. Together, we’ll unlock your potential and create a lasting impact.&lt;br&gt;&lt;br&gt;&lt;em&gt;While this is the current structure and we currently have no plans to change, we reserve the right to make changes to the hybrid schedule as needed at the Company’s discretion.&lt;br&gt;&lt;br&gt;&lt;/em&gt;&lt;strong&gt;What You Will Do&lt;br&gt;&lt;br&gt;&lt;/strong&gt;&lt;ul&gt;&lt;li&gt;Embedding with teams across Allegion to learn their processes firsthand and identify where an agent will create measurable value.&lt;/li&gt;&lt;li&gt;Translating unfamiliar business processes into clear agent requirements, scope, and success criteria.&lt;/li&gt;&lt;li&gt;Designing and building agents that are safe, reliable, and produce consistent outputs.&lt;/li&gt;&lt;li&gt;Defining what "good" means for each use case and building evaluations that measure accuracy, consistency, and regression over time.&lt;/li&gt;&lt;li&gt;Deciding where human oversight is warranted - particularly for client-facing outputs or writes to systems of record - and designing those checkpoints in.&lt;/li&gt;&lt;li&gt;Building reusable patterns, skills, templates, and best practices that standardize agent development across the company.&lt;/li&gt;&lt;li&gt;Piloting agents with business users and leading acceptance testing before rollout.&lt;/li&gt;&lt;li&gt;Partnering with data scientists, business partners, and peer AI teams to prioritize use cases and align on delivery.&lt;/li&gt;&lt;li&gt;Applying responsible-AI practices and staying current with advances in agentic AI and evaluation methods.&lt;br&gt;&lt;br&gt;&lt;/li&gt;&lt;/ul&gt;&lt;strong&gt;What You Need To Succeed&lt;br&gt;&lt;br&gt;&lt;/strong&gt;&lt;ul&gt;&lt;li&gt;Bachelor's degree in Computer Science, Engineering, Data Science, or a related technical field, or equivalent practical experience.&lt;/li&gt;&lt;li&gt;3+ years total experience delivering AI, software, or data solutions, including hands-on work building LLM-based applications or agents.&lt;/li&gt;&lt;li&gt;Experience designing and building AI agents, including tool use, external system and data integration, and multi-step workflow orchestration.&lt;/li&gt;&lt;li&gt;Strong proficiency with generative AI and large language models, including prompt engineering for reliable, high-quality outputs.&lt;/li&gt;&lt;li&gt;Experience defining and implementing evaluations for AI systems that measure quality, consistency, and regression over time.&lt;/li&gt;&lt;li&gt;Sound judgment on human-in-the-loop design - knowing when oversight is warranted and designing effective review checkpoints.&lt;/li&gt;&lt;li&gt;Requirements-discovery and facilitation skills - able to embed with a business team, learn an unfamiliar process quickly, and translate it into clear requirements.&lt;/li&gt;&lt;li&gt;Strong Python proficiency and hands-on experience with cloud platforms; Azure preferred, AWS or GCP acceptable.&lt;/li&gt;&lt;li&gt;Excellent communication skills, with a proven track record of working effectively with both technical teams and non-technical stakeholders.&lt;/li&gt;&lt;li&gt;Comfortable establishing new standards and patterns in ambiguous, greenfield territory and refining them with partner teams.&lt;/li&gt;&lt;li&gt;Ability to work independently and collaborate effectively, in person and remotely.&lt;/li&gt;&lt;li&gt;Analytical approach to problem-solving, sense of urgency, ability to manage multiple initiatives, and self-direction in keeping current with rapidly changing technology.&lt;/li&gt;&lt;li&gt;Experience with the Model Context Protocol (MCP) or similar frameworks, and with integrating systems of record or CRM platforms (e.g., Microsoft Dynamics), is a plus.&lt;/li&gt;&lt;li&gt;Experience in a customer-facing, consulting, solutions-engineering, or forward-deployed role is a plus.&lt;/li&gt;&lt;li&gt;Background in data science, machine learning, or applied statistics, particularly in evaluation or measurement methodology, is a plus.&lt;br&gt;&lt;br&gt;&lt;/li&gt;&lt;/ul&gt;&lt;strong&gt;Why Work for Us? &lt;br&gt;&lt;br&gt;&lt;/strong&gt;&lt;strong&gt;Allegion is a Great Place to Grow your Career if:&lt;br&gt;&lt;br&gt;&lt;/strong&gt;&lt;ul&gt;&lt;li&gt;You're seeking a rewarding opportunity that allows you to truly help others. With thousands of employees and customers around the world, there’s plenty of room to make an impact. As our values state, “this is your business, run with it”.&lt;/li&gt;&lt;li&gt;You’re looking for a company that will invest in your professional development. As we grow, we want you to grow with us. &lt;/li&gt;&lt;li&gt;You want a culture that promotes work-life balance. Our employees enjoy generous paid time off, because at Allegion we recognize that you have a full life outside of work! &lt;/li&gt;&lt;li&gt;You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potential.&lt;br&gt;&lt;br&gt;&lt;/li&gt;&lt;/ul&gt;&lt;strong&gt;What You’ll Get From Us&lt;br&gt;&lt;br&gt;&lt;/strong&gt;&lt;ul&gt;&lt;li&gt;Health, dental and vision insurance coverage, helping you “be safe, be healthy” &lt;/li&gt;&lt;li&gt;Unlimited Paid Time Off&lt;/li&gt;&lt;li&gt;A commitment to your future with a 401K plan, which currently offers a 6% company match and no vesting period &lt;/li&gt;&lt;li&gt;Health Savings Accounts – Tax-advantaged savings account used for healthcare expenses&lt;/li&gt;&lt;li&gt;Flexible Spending Accounts – Tax-advantaged spending accounts for healthcare and/or dependent daycare expenses&lt;/li&gt;&lt;li&gt;Disability Insurance –Short-Term and Long-Term coverage, paid for by Allegion, provides income replacement for illness or injury&lt;/li&gt;&lt;li&gt;Life Insurance – Term life coverage with the option to purchase supplemental coverage&lt;/li&gt;&lt;li&gt;Tuition Reimbursement &lt;/li&gt;&lt;li&gt;Voluntary Wellness Program – Simply complete wellness activities and earn up to $2,000 in rewards&lt;/li&gt;&lt;li&gt;Employee Discounts through Perks at Work &lt;/li&gt;&lt;li&gt;Community involvement and opportunities to give back so you can “serve others, not yourself” &lt;/li&gt;&lt;li&gt;Opportunities to leverage your unique strengths through CliftonStrengths assessment &amp;amp; coaching &lt;br&gt;&lt;br&gt;&lt;/li&gt;&lt;/ul&gt;&lt;strong&gt;Apply Today!&lt;br&gt;&lt;br&gt;&lt;/strong&gt;Join our team of experts today and help us make tomorrow’s world a safer place!&lt;br&gt;&lt;br&gt;&lt;strong&gt;&lt;em&gt;Not sure if your experience perfectly aligns with the role?&lt;/em&gt;&lt;/strong&gt;&lt;em&gt; Studies have shown that some people are less likely to apply to jobs unless they meet every single qualification &lt;strong&gt;and&lt;/strong&gt;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role&lt;br&gt;&lt;br&gt;&lt;/em&gt;&lt;strong&gt;We Celebrate Who We Are! &lt;br&gt;&lt;br&gt;&lt;/strong&gt;Allegion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Team.&lt;br&gt;&lt;br&gt;© Allegion plc, 2023 | Block D, Iveagh Court, Harcourt Road, Dublin 2, Co. Dublin, Ireland&lt;br&gt;&lt;br&gt;REGISTERED IN IRELAND WITH LIMITED LIABILITY REGISTERED NUMBER 527370&lt;br&gt;&lt;br&gt;Allegion is an equal opportunity and affirmative action employer&lt;br&gt;&lt;br&gt;Privacy Policy</x:v>
      </x:c>
      <x:c r="AB69" s="68" t="str">
        <x:v>Creating Peace of Mind by Pioneering Safety and Security
At Allegion, we help keep the people you know and love safe and secure where they live, work and visit. With more than 40 brands, 14,000+ employees globally and products sold in 130 countries, we specialize in security around the doorway and beyond. 
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
Job Title 
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
Qualified candidates must be legally authorized to be employed in the United States. The company does not intend to provide sponsorship for employment visa status (e.g., H-1B, TN, etc.) for this employment position. 
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
We are committed to fostering a healthy work-life balance and building meaningful connections, ensuring you have the tools, resources, and support needed to excel in any environment. Together, we’ll unlock your potential and create a lasting impact.
While this is the current structure and we currently have no plans to change, we reserve the right to make changes to the hybrid schedule as needed at the Company’s discretion.
What You Will Do
- Embedding with teams across Allegion to learn their processes firsthand and identify where an agent will create measurable value.
- Translating unfamiliar business processes into clear agent requirements, scope, and success criteria.
- Designing and building agents that are safe, reliable, and produce consistent outputs.
- Defining what "good" means for each use case and building evaluations that measure accuracy, consistency, and regression over time.
- Deciding where human oversight is warranted - particularly for client-facing outputs or writes to systems of record - and designing those checkpoints in.
- Building reusable patterns, skills, templates, and best practices that standardize agent development across the company.
- Piloting agents with business users and leading acceptance testing before rollout.
- Partnering with data scientists, business partners, and peer AI teams to prioritize use cases and align on delivery.
- Applying responsible-AI practices and staying current with advances in agentic AI and evaluation methods.
What You Need To Succeed
- Bachelor's degree in Computer Science, Engineering, Data Science, or a related technical field, or equivalent practical experience.
- 3+ years total experience delivering AI, software, or data solutions, including hands-on work building LLM-based applications or agents.
- Experience designing and building AI agents, including tool use, external system and data integration, and multi-step workflow orchestration.
- Strong proficiency with generative AI and large language models, including prompt engineering for reliable, high-quality outputs.
- Experience defining and implementing evaluations for AI systems that measure quality, consistency, and regression over time.
- Sound judgment on human-in-the-loop design - knowing when oversight is warranted and designing effective review checkpoints.
- Requirements-discovery and facilitation skills - able to embed with a business team, learn an unfamiliar process quickly, and translate it into clear requirements.
- Strong Python proficiency and hands-on experience with cloud platforms; Azure preferred, AWS or GCP acceptable.
- Excellent communication skills, with a proven track record of working effectively with both technical teams and non-technical stakeholders.
- Comfortable establishing new standards and patterns in ambiguous, greenfield territory and refining them with partner teams.
- Ability to work independently and collaborate effectively, in person and remotely.
- Analytical approach to problem-solving, sense of urgency, ability to manage multiple initiatives, and self-direction in keeping current with rapidly changing technology.
- Experience with the Model Context Protocol (MCP) or similar frameworks, and with integrating systems of record or CRM platforms (e.g., Microsoft Dynamics), is a plus.
- Experience in a customer-facing, consulting, solutions-engineering, or forward-deployed role is a plus.
- Background in data science, machine learning, or applied statistics, particularly in evaluation or measurement methodology, is a plus.
Why Work for Us? 
Allegion is a Great Place to Grow your Career if:
- You're seeking a rewarding opportunity that allows you to truly help others. With thousands of employees and customers around the world, there’s plenty of room to make an impact. As our values state, “this is your business, run with it”.
- You’re looking for a company that will invest in your professional development. As we grow, we want you to grow with us. 
- You want a culture that promotes work-life balance. Our employees enjoy generous paid time off, because at Allegion we recognize that you have a full life outside of work! 
- 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
What You’ll Get From Us
- Health, dental and vision insurance coverage, helping you “be safe, be healthy” 
- Unlimited Paid Time Off
- A commitment to your future with a 401K plan, which currently offers a 6% company match and no vesting period 
- Health Savings Accounts – Tax-advantaged savings account used for healthcare expenses
- Flexible Spending Accounts – Tax-advantaged spending accounts for healthcare and/or dependent daycare expenses
- Disability Insurance –Short-Term and Long-Term coverage, paid for by Allegion, provides income replacement for illness or injury
- Life Insurance – Term life coverage with the option to purchase supplemental coverage
- Tuition Reimbursement 
- Voluntary Wellness Program – Simply complete wellness activities and earn up to $2,000 in rewards
- Employee Discounts through Perks at Work 
- Community involvement and opportunities to give back so you can “serve others, not yourself” 
- Opportunities to leverage your unique strengths through CliftonStrengths assessment &amp;amp; coaching 
Apply Today!
Join our team of experts today and help us make tomorrow’s world a safer place!
Not sure if your experience perfectly aligns with the role? Studies have shown that some people are less likely to apply to jobs unless they meet every single qualification and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Allegion plc, 2023 | Block D, Iveagh Court, Harcourt Road, Dublin 2, Co. Dublin, Ireland
REGISTERED IN IRELAND WITH LIMITED LIABILITY REGISTERED NUMBER 527370
Allegion is an equal opportunity and affirmative action employer
Privacy Policy</x:v>
      </x:c>
      <x:c r="AC69" s="68" t="str">
        <x:v>Not Applicable</x:v>
      </x:c>
      <x:c r="AD69" s="68" t="str">
        <x:v>Full-time</x:v>
      </x:c>
      <x:c r="AE69" s="68" t="str">
        <x:v>Engineering and Information Technology</x:v>
      </x:c>
      <x:c r="AF69" s="68" t="str">
        <x:v>Appliances, Electrical, and Electronics Manufacturing</x:v>
      </x:c>
      <x:c r="AG69" s="68" t="str">
        <x:v>https://www.linkedin.com/jobs/search/?position=1&amp;pageNum=0&amp;keywords=AI+Engineer&amp;location=United+States&amp;distance=0&amp;f_TPR=r604800</x:v>
      </x:c>
      <x:c r="AH69" s="68" t="str">
        <x:v>{'type': 'PostalAddress', 'streetAddress': "Unit No. 233, The Capel Building, Mary's Abbey", 'addressLocality': 'Dublin 7', 'addressCountry': 'IE'}</x:v>
      </x:c>
      <x:c r="AI69" s="68" t="str">
        <x:v>http://www.allegion.com/</x:v>
      </x:c>
      <x:c r="AJ69" s="68"/>
      <x:c r="AK69" s="68"/>
      <x:c r="AL69" s="68"/>
      <x:c r="AM69" s="68"/>
      <x:c r="AN69" s="68"/>
      <x:c r="AO69" s="68"/>
      <x:c r="AP69" s="68"/>
    </x:row>
    <x:row r="70" s="25" customFormat="1" ht="22" customHeight="1">
      <x:c r="A70" s="68" t="str">
        <x:v>4450010383</x:v>
      </x:c>
      <x:c r="B70" s="68" t="str">
        <x:v>AI Engineer</x:v>
      </x:c>
      <x:c r="C70" s="68" t="str">
        <x:v>Zions Bancorporation</x:v>
      </x:c>
      <x:c r="D70" s="68" t="str">
        <x:v>Midvale, UT</x:v>
      </x:c>
      <x:c r="E70" s="68" t="str">
        <x:v>Applied</x:v>
      </x:c>
      <x:c r="F70" s="68"/>
      <x:c r="G70" s="69"/>
      <x:c r="H70" s="85" t="str">
        <x:v>2026-08-07</x:v>
      </x:c>
      <x:c r="I70" s="85"/>
      <x:c r="J70" s="68" t="str">
        <x:v>200</x:v>
      </x:c>
      <x:c r="K70" s="70"/>
      <x:c r="L70" s="86"/>
      <x:c r="M70" s="87"/>
      <x:c r="N70" s="71"/>
      <x:c r="O70" s="88"/>
      <x:c r="P70" s="89"/>
      <x:c r="Q70" s="89"/>
      <x:c r="R70" s="89"/>
      <x:c r="S70" s="73"/>
      <x:c r="T70" s="68"/>
      <x:c r="U70" s="68" t="str">
        <x:v>https://www.linkedin.com/jobs/view/ai-engineer-at-zions-bancorporation-4450010383?position=14&amp;pageNum=0&amp;refId=s48tP56EQnHdC6rkSZpaEg%3D%3D&amp;trackingId=xaaSoQTWVb6aV7SKhUHU%2BQ%3D%3D</x:v>
      </x:c>
      <x:c r="V70" s="68" t="str">
        <x:v>xaaSoQTWVb6aV7SKhUHU+Q==</x:v>
      </x:c>
      <x:c r="W70" s="68" t="str">
        <x:v>s48tP56EQnHdC6rkSZpaEg==</x:v>
      </x:c>
      <x:c r="X70" s="68" t="str">
        <x:v>https://www.linkedin.com/company/zions-bancorporation?trk=public_jobs_jserp-result_job-search-card-subtitle</x:v>
      </x:c>
      <x:c r="Y70" s="68" t="str">
        <x:v>https://media.licdn.com/dms/image/v2/C4D0BAQEp_shOoKzI-Q/company-logo_100_100/company-logo_100_100/0/1631313033101?e=2147483647&amp;v=beta&amp;t=IjsiNgPMuNItotM-zEQP1o2scByYm4KDIsBKBxGf09M</x:v>
      </x:c>
      <x:c r="Z70" s="68"/>
      <x:c r="AA70" s="68" t="str">
        <x:v>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today.&lt;br&gt;&lt;br&gt;We are seeking a dynamic and motivated &lt;strong&gt;AI Engineer&lt;/strong&gt;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enhancements.&lt;br&gt;&lt;br&gt;&lt;strong&gt;Visa Sponsorship:&lt;br&gt;&lt;br&gt;&lt;/strong&gt;This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eligibility.&lt;br&gt;&lt;br&gt;&lt;strong&gt;Responsibilities:&lt;br&gt;&lt;br&gt;&lt;/strong&gt;&lt;ul&gt;&lt;li&gt;Develop innovative AI/ML software solutions, specifically focusing on Generative AI, LLMs, and RAG (Retrieval-Augmented Generation) architectures, while adhering to enterprise software standards. &lt;/li&gt;&lt;li&gt;Design, build, and maintain robust, scalable RESTful APIs and microservices to expose AI capabilities to internal and external applications using Python (FastAPI/Flask) and/or Java (Spring Boot). &lt;/li&gt;&lt;li&gt;Support testing, configuration management, and source code/change management processes, ensuring strict adherence to Git workflows and version control best practices. &lt;/li&gt;&lt;li&gt;Support and maintain AI pipelines and infrastructure to ensure optimal system performance, scalability, and reliability. &lt;/li&gt;&lt;li&gt;Design, debug, test, and deploy software using Python and/or Java fundamentals, writing clean, maintainable, and efficient code. &lt;/li&gt;&lt;li&gt;Participate in code reviews, ensuring code quality, security, and testability across the team. &lt;/li&gt;&lt;li&gt;Review, analyze, and evaluate business processes, recommending improvements and changes using both standard software automation and AI. &lt;/li&gt;&lt;li&gt;Participate in unit testing, integration testing, feasibility assessments, and systems documentation. &lt;/li&gt;&lt;li&gt;Execute change and release processes (CI/CD), including model versioning and deployment, documenting solutions with clear, well-commented code. &lt;/li&gt;&lt;li&gt;Build proof of concept (PoC) examples and graphical simulation software. &lt;/li&gt;&lt;li&gt;Participate in product design reviews, offering creative and practical ideas and solutions. &lt;/li&gt;&lt;li&gt;Collaborate with customer service, product managers, developers, and IT to enhance user experience and achieve product goals. &lt;/li&gt;&lt;li&gt;Other duties as assigned. &lt;br&gt;&lt;br&gt;&lt;/li&gt;&lt;/ul&gt;&lt;strong&gt;Qualifications:&lt;br&gt;&lt;br&gt;&lt;/strong&gt;&lt;ul&gt;&lt;li&gt;2 plus years of experience in software development, database technologies, version control systems, DevOps tools, cloud computing platforms, and microservices architecture. A combination of education and relevant experience may meet qualifications. &lt;/li&gt;&lt;li&gt;Proven experience with Generative AI (prompt engineering, fine-tuning, RAG) combined with traditional software engineering skills (API design, CI/CD pipelines, Git). &lt;/li&gt;&lt;li&gt;Hand on experience with modern programming languages—specifically Python and/or Java—and application development using various technologies, languages, databases, integrations, frameworks, and systems. &lt;/li&gt;&lt;li&gt;Solid knowledge of software development lifecycles (SDLC), Agile/Scrum methodologies, SQL and database systems, Java/Python programming, and application servers (e.g., WebSphere, Tomcat), data modeling concepts, and integrated application development methodology. &lt;/li&gt;&lt;li&gt;Proven track record in debugging and problem-solving, with comprehensive experience executing unit, integration, and end-to-end testing. &lt;/li&gt;&lt;li&gt;Skilled at translating complex business requirements into strategic programs and aligning them with effective, validated solutions. &lt;/li&gt;&lt;li&gt;Cloud experience: knowledge of modern cloud architectures (GCP preferred, AWS/Azure acceptable) and infrastructure-as-code. &lt;/li&gt;&lt;li&gt;Ability to work effectively in a team environment and adapt to changing technology and priorities. &lt;/li&gt;&lt;li&gt;Financial or banking services experience is a plus. &lt;/li&gt;&lt;li&gt;Bachelor’s degree in Computer Science, Computer Engineering, or equivalent required. &lt;br&gt;&lt;br&gt;&lt;/li&gt;&lt;/ul&gt;&lt;strong&gt;Work Location:&lt;br&gt;&lt;br&gt;&lt;/strong&gt;This position is fully in office (5 days a week) at the Zions Technology Center - 7860 South Bingham Junction Blvd, Midvale, UT 84047.&lt;br&gt;&lt;br&gt;The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as:&lt;br&gt;&lt;br&gt;&lt;ul&gt;&lt;li&gt;Electric vehicle charging stations and close proximity to Historic Gardner Village UTA TRAX station. &lt;/li&gt;&lt;li&gt;At least 75% of the building is powered by on-site renewable solar energy. &lt;/li&gt;&lt;li&gt;Access to outdoor recreation, parks, trails, shareable bikes, and locker rooms. &lt;/li&gt;&lt;li&gt;Large modern cafe with a healthy and diverse menu. &lt;/li&gt;&lt;li&gt;Healthy indoor environment with ample natural light and fresh air. &lt;/li&gt;&lt;li&gt;LEED-certified sustainable building that features include the use of low VOC-emitting construction materials. &lt;br&gt;&lt;br&gt;&lt;/li&gt;&lt;/ul&gt;&lt;strong&gt;Benefits:&lt;br&gt;&lt;br&gt;&lt;/strong&gt;&lt;ul&gt;&lt;li&gt;Medical, Dental and Vision Insurance - START DAY ONE!&lt;/li&gt;&lt;li&gt;Life and Disability Insurance, Paid Parental Leave and Adoption Assistance&lt;/li&gt;&lt;li&gt;Health Savings (HSA), Flexible Spending (FSA), and dependent care accounts&lt;/li&gt;&lt;li&gt;Paid Training, Paid Time Off (PTO) and 11 Paid Federal Holidays&lt;/li&gt;&lt;li&gt;401(k) plan with company match, Profit Sharing, competitive compensation in line with work experience&lt;/li&gt;&lt;li&gt;Mental health benefits including coaching and therapy sessions&lt;/li&gt;&lt;li&gt;Tuition Reimbursement for qualifying employees&lt;/li&gt;&lt;li&gt;Employee Ambassador preferred banking products&lt;br&gt;&lt;br&gt;&lt;/li&gt;&lt;/ul&gt;#dice</x:v>
      </x:c>
      <x:c r="AB70" s="68" t="str">
        <x:v>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dynamic and motivated AI Engineer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
Visa Sponsorship:
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Responsibilities:
- Develop innovative AI/ML software solutions, specifically focusing on Generative AI, LLMs, and RAG (Retrieval-Augmented Generation) architectures, while adhering to enterprise software standards. 
- Design, build, and maintain robust, scalable RESTful APIs and microservices to expose AI capabilities to internal and external applications using Python (FastAPI/Flask) and/or Java (Spring Boot). 
- Support testing, configuration management, and source code/change management processes, ensuring strict adherence to Git workflows and version control best practices. 
- Support and maintain AI pipelines and infrastructure to ensure optimal system performance, scalability, and reliability. 
- Design, debug, test, and deploy software using Python and/or Java fundamentals, writing clean, maintainable, and efficient code. 
- Participate in code reviews, ensuring code quality, security, and testability across the team. 
- Review, analyze, and evaluate business processes, recommending improvements and changes using both standard software automation and AI. 
- Participate in unit testing, integration testing, feasibility assessments, and systems documentation. 
- Execute change and release processes (CI/CD), including model versioning and deployment, documenting solutions with clear, well-commented code. 
- Build proof of concept (PoC) examples and graphical simulation software. 
- Participate in product design reviews, offering creative and practical ideas and solutions. 
- Collaborate with customer service, product managers, developers, and IT to enhance user experience and achieve product goals. 
- Other duties as assigned. 
Qualifications:
- 2 plus years of experience in software development, database technologies, version control systems, DevOps tools, cloud computing platforms, and microservices architecture. A combination of education and relevant experience may meet qualifications. 
- Proven experience with Generative AI (prompt engineering, fine-tuning, RAG) combined with traditional software engineering skills (API design, CI/CD pipelines, Git). 
- Hand on experience with modern programming languages—specifically Python and/or Java—and application development using various technologies, languages, databases, integrations, frameworks, and systems. 
- Solid knowledge of software development lifecycles (SDLC), Agile/Scrum methodologies, SQL and database systems, Java/Python programming, and application servers (e.g., WebSphere, Tomcat), data modeling concepts, and integrated application development methodology. 
- Proven track record in debugging and problem-solving, with comprehensive experience executing unit, integration, and end-to-end testing. 
- Skilled at translating complex business requirements into strategic programs and aligning them with effective, validated solutions. 
- Cloud experience: knowledge of modern cloud architectures (GCP preferred, AWS/Azure acceptable) and infrastructure-as-code. 
- Ability to work effectively in a team environment and adapt to changing technology and priorities. 
- Financial or banking services experience is a plus. 
- Bachelor’s degree in Computer Science, Computer Engineering, or equivalent required. 
Work Location:
This position is fully in office (5 days a week) at the Zions Technology Center - 7860 South Bingham Junction Blvd, Midvale, UT 84047.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#dice</x:v>
      </x:c>
      <x:c r="AC70" s="68" t="str">
        <x:v>Not Applicable</x:v>
      </x:c>
      <x:c r="AD70" s="68" t="str">
        <x:v>Temporary</x:v>
      </x:c>
      <x:c r="AE70" s="68" t="str">
        <x:v>Engineering and Information Technology</x:v>
      </x:c>
      <x:c r="AF70" s="68" t="str">
        <x:v>Banking</x:v>
      </x:c>
      <x:c r="AG70" s="68" t="str">
        <x:v>https://www.linkedin.com/jobs/search/?position=1&amp;pageNum=0&amp;keywords=AI+Engineer&amp;location=United+States&amp;distance=0&amp;f_TPR=r604800</x:v>
      </x:c>
      <x:c r="AH70" s="68" t="str">
        <x:v>{'type': 'PostalAddress', 'streetAddress': 'One South Main', 'addressLocality': 'Salt Lake City', 'addressRegion': 'Utah', 'postalCode': '84133-1109', 'addressCountry': 'US'}</x:v>
      </x:c>
      <x:c r="AI70" s="68" t="str">
        <x:v>http://www.zionsbancorporation.com/</x:v>
      </x:c>
      <x:c r="AJ70" s="68" t="str">
        <x:v>A Collection of Great Banks </x:v>
      </x:c>
      <x:c r="AK70" s="68"/>
      <x:c r="AL70" s="68"/>
      <x:c r="AM70" s="68"/>
      <x:c r="AN70" s="68"/>
      <x:c r="AO70" s="68"/>
      <x:c r="AP70" s="68"/>
    </x:row>
    <x:row r="71" s="25" customFormat="1" ht="22" customHeight="1">
      <x:c r="A71" s="68" t="str">
        <x:v>4422692800</x:v>
      </x:c>
      <x:c r="B71" s="68" t="str">
        <x:v>AI Engineer II</x:v>
      </x:c>
      <x:c r="C71" s="68" t="str">
        <x:v>Kirkland &amp; Ellis</x:v>
      </x:c>
      <x:c r="D71" s="68" t="str">
        <x:v>Houston, TX</x:v>
      </x:c>
      <x:c r="E71" s="68" t="str">
        <x:v>Applied</x:v>
      </x:c>
      <x:c r="F71" s="68"/>
      <x:c r="G71" s="69"/>
      <x:c r="H71" s="85" t="str">
        <x:v>2026-08-06</x:v>
      </x:c>
      <x:c r="I71" s="85"/>
      <x:c r="J71" s="68" t="str">
        <x:v>200</x:v>
      </x:c>
      <x:c r="K71" s="70"/>
      <x:c r="L71" s="86"/>
      <x:c r="M71" s="87"/>
      <x:c r="N71" s="71"/>
      <x:c r="O71" s="88"/>
      <x:c r="P71" s="89"/>
      <x:c r="Q71" s="89"/>
      <x:c r="R71" s="89"/>
      <x:c r="S71" s="73"/>
      <x:c r="T71" s="68"/>
      <x:c r="U71" s="68" t="str">
        <x:v>https://www.linkedin.com/jobs/view/ai-engineer-ii-at-kirkland-ellis-4422692800?position=9&amp;pageNum=0&amp;refId=s48tP56EQnHdC6rkSZpaEg%3D%3D&amp;trackingId=ou2nbZ4CeK3XKmfebhSu%2BQ%3D%3D</x:v>
      </x:c>
      <x:c r="V71" s="68" t="str">
        <x:v>ou2nbZ4CeK3XKmfebhSu+Q==</x:v>
      </x:c>
      <x:c r="W71" s="68" t="str">
        <x:v>s48tP56EQnHdC6rkSZpaEg==</x:v>
      </x:c>
      <x:c r="X71" s="68" t="str">
        <x:v>https://www.linkedin.com/company/kirkland-&amp;-ellis-llp?trk=public_jobs_jserp-result_job-search-card-subtitle</x:v>
      </x:c>
      <x:c r="Y71" s="68" t="str">
        <x:v>https://media.licdn.com/dms/image/v2/D4E0BAQGgIcoBAvd7-w/company-logo_100_100/company-logo_100_100/0/1729257482495/kirkland__ellis_llp_logo?e=2147483647&amp;v=beta&amp;t=MDX-7NavpOzq1uK99icPl1FIUL6Bre4dIAtXhy_OzyY</x:v>
      </x:c>
      <x:c r="Z71" s="68"/>
      <x:c r="AA71" s="68" t="str">
        <x:v>&lt;strong&gt;About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x:v>
      </x:c>
      <x:c r="AB71" s="68" t="str">
        <x:v>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x:v>
      </x:c>
      <x:c r="AC71" s="68" t="str">
        <x:v>Not Applicable</x:v>
      </x:c>
      <x:c r="AD71" s="68" t="str">
        <x:v>Full-time</x:v>
      </x:c>
      <x:c r="AE71" s="68" t="str">
        <x:v>Engineering and Information Technology</x:v>
      </x:c>
      <x:c r="AF71" s="68" t="str">
        <x:v>Law Practice</x:v>
      </x:c>
      <x:c r="AG71" s="68" t="str">
        <x:v>https://www.linkedin.com/jobs/search/?position=1&amp;pageNum=0&amp;keywords=AI+Engineer&amp;location=United+States&amp;distance=0&amp;f_TPR=r604800</x:v>
      </x:c>
      <x:c r="AH71" s="68" t="str">
        <x:v>{'type': 'PostalAddress', 'streetAddress': '333 W Wolf Point Plaza', 'addressLocality': 'Chicago', 'addressRegion': 'Illinois', 'postalCode': '60654', 'addressCountry': 'US'}</x:v>
      </x:c>
      <x:c r="AI71" s="68" t="str">
        <x:v>http://www.kirkland.com</x:v>
      </x:c>
      <x:c r="AJ71" s="68"/>
      <x:c r="AK71" s="68"/>
      <x:c r="AL71" s="68"/>
      <x:c r="AM71" s="68"/>
      <x:c r="AN71" s="68"/>
      <x:c r="AO71" s="68"/>
      <x:c r="AP71" s="68"/>
    </x:row>
    <x:row r="72" s="25" customFormat="1" ht="22" customHeight="1">
      <x:c r="A72" s="68" t="str">
        <x:v>4413287072</x:v>
      </x:c>
      <x:c r="B72" s="68" t="str">
        <x:v>Agentic AI and Data Engineer</x:v>
      </x:c>
      <x:c r="C72" s="68" t="str">
        <x:v>Booz Allen Hamilton</x:v>
      </x:c>
      <x:c r="D72" s="68" t="str">
        <x:v>Mahinahina Camp, HI</x:v>
      </x:c>
      <x:c r="E72" s="68" t="str">
        <x:v>Applied</x:v>
      </x:c>
      <x:c r="F72" s="68"/>
      <x:c r="G72" s="69"/>
      <x:c r="H72" s="85" t="str">
        <x:v>2026-08-06</x:v>
      </x:c>
      <x:c r="I72" s="85"/>
      <x:c r="J72" s="68" t="str">
        <x:v>90</x:v>
      </x:c>
      <x:c r="K72" s="70"/>
      <x:c r="L72" s="86"/>
      <x:c r="M72" s="87"/>
      <x:c r="N72" s="71"/>
      <x:c r="O72" s="88"/>
      <x:c r="P72" s="89"/>
      <x:c r="Q72" s="89"/>
      <x:c r="R72" s="89"/>
      <x:c r="S72" s="73"/>
      <x:c r="T72" s="68"/>
      <x:c r="U72" s="68" t="str">
        <x:v>https://www.linkedin.com/jobs/view/agentic-ai-and-data-engineer-at-booz-allen-hamilton-4413287072?position=10&amp;pageNum=0&amp;refId=s48tP56EQnHdC6rkSZpaEg%3D%3D&amp;trackingId=chAMtwdsP%2FVQK5L4Eq6kgQ%3D%3D</x:v>
      </x:c>
      <x:c r="V72" s="68" t="str">
        <x:v>chAMtwdsP/VQK5L4Eq6kgQ==</x:v>
      </x:c>
      <x:c r="W72" s="68" t="str">
        <x:v>s48tP56EQnHdC6rkSZpaEg==</x:v>
      </x:c>
      <x:c r="X72" s="68" t="str">
        <x:v>https://www.linkedin.com/company/booz-allen-hamilton?trk=public_jobs_jserp-result_job-search-card-subtitle</x:v>
      </x:c>
      <x:c r="Y72" s="68" t="str">
        <x:v>https://media.licdn.com/dms/image/v2/D4E0BAQFXBzVcVDSTOQ/company-logo_100_100/company-logo_100_100/0/1737465459820/booz_allen_hamilton_logo?e=2147483647&amp;v=beta&amp;t=SswDqk5ZXqP0jtQgXL12ktHuwfRb0zf8se42kJe-lFM</x:v>
      </x:c>
      <x:c r="Z72" s="68"/>
      <x:c r="AA72" s="68" t="str">
        <x:v>&lt;strong&gt;Job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v>
      </x:c>
      <x:c r="AB72" s="68" t="str">
        <x:v>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v>
      </x:c>
      <x:c r="AC72" s="68" t="str">
        <x:v>Not Applicable</x:v>
      </x:c>
      <x:c r="AD72" s="68" t="str">
        <x:v>Full-time</x:v>
      </x:c>
      <x:c r="AE72" s="68" t="str">
        <x:v>Information Technology</x:v>
      </x:c>
      <x:c r="AF72" s="68" t="str">
        <x:v>Software Development</x:v>
      </x:c>
      <x:c r="AG72" s="68" t="str">
        <x:v>https://www.linkedin.com/jobs/search/?position=1&amp;pageNum=0&amp;keywords=AI+Engineer&amp;location=United+States&amp;distance=0&amp;f_TPR=r604800</x:v>
      </x:c>
      <x:c r="AH72" s="68" t="str">
        <x:v>{'type': 'PostalAddress', 'streetAddress': '8283 Greensboro Drive', 'addressLocality': 'McLean', 'addressRegion': 'VA', 'postalCode': '22102', 'addressCountry': 'US'}</x:v>
      </x:c>
      <x:c r="AI72" s="68" t="str">
        <x:v>https://boozallen.co/3PbO3a2</x:v>
      </x:c>
      <x:c r="AJ72" s="68"/>
      <x:c r="AK72" s="68"/>
      <x:c r="AL72" s="68"/>
      <x:c r="AM72" s="68"/>
      <x:c r="AN72" s="68"/>
      <x:c r="AO72" s="68"/>
      <x:c r="AP72" s="68"/>
    </x:row>
    <x:row r="73" s="25" customFormat="1" ht="22" customHeight="1">
      <x:c r="A73" s="68" t="str">
        <x:v>4450013802</x:v>
      </x:c>
      <x:c r="B73" s="68" t="str">
        <x:v>AI Engineer</x:v>
      </x:c>
      <x:c r="C73" s="68" t="str">
        <x:v>Goal Solutions</x:v>
      </x:c>
      <x:c r="D73" s="68" t="str">
        <x:v>San Diego, CA</x:v>
      </x:c>
      <x:c r="E73" s="68" t="str">
        <x:v>Applied</x:v>
      </x:c>
      <x:c r="F73" s="68"/>
      <x:c r="G73" s="69"/>
      <x:c r="H73" s="85" t="str">
        <x:v>2026-08-07</x:v>
      </x:c>
      <x:c r="I73" s="85"/>
      <x:c r="J73" s="68" t="str">
        <x:v>200</x:v>
      </x:c>
      <x:c r="K73" s="70"/>
      <x:c r="L73" s="86"/>
      <x:c r="M73" s="87"/>
      <x:c r="N73" s="71"/>
      <x:c r="O73" s="88"/>
      <x:c r="P73" s="89"/>
      <x:c r="Q73" s="89"/>
      <x:c r="R73" s="89"/>
      <x:c r="S73" s="73"/>
      <x:c r="T73" s="68"/>
      <x:c r="U73" s="68" t="str">
        <x:v>https://www.linkedin.com/jobs/view/ai-engineer-at-goal-solutions-4450013802?position=7&amp;pageNum=0&amp;refId=s48tP56EQnHdC6rkSZpaEg%3D%3D&amp;trackingId=SmbhyDiC5uv1mfxd7R6yAw%3D%3D</x:v>
      </x:c>
      <x:c r="V73" s="68" t="str">
        <x:v>SmbhyDiC5uv1mfxd7R6yAw==</x:v>
      </x:c>
      <x:c r="W73" s="68" t="str">
        <x:v>s48tP56EQnHdC6rkSZpaEg==</x:v>
      </x:c>
      <x:c r="X73" s="68" t="str">
        <x:v>https://www.linkedin.com/company/goal-solutions?trk=public_jobs_jserp-result_job-search-card-subtitle</x:v>
      </x:c>
      <x:c r="Y73" s="68" t="str">
        <x:v>https://media.licdn.com/dms/image/v2/C560BAQEjOVy_OaJQ6A/company-logo_100_100/company-logo_100_100/0/1654892710347/goal_solutions_logo?e=2147483647&amp;v=beta&amp;t=Rouy07uUhYxA3qAakW_5MPwxnZ1geCftjQZIwrMYJOs</x:v>
      </x:c>
      <x:c r="Z73" s="68"/>
      <x:c r="AA73" s="68" t="str">
        <x:v>&lt;strong&gt;Description&lt;br&gt;&lt;br&gt;&lt;/strong&gt;We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organization.&lt;br&gt;&lt;br&gt;You’ll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environment.&lt;br&gt;&lt;br&gt;&lt;strong&gt;What&lt;/strong&gt; &lt;strong&gt;You’ll&lt;/strong&gt; &lt;strong&gt;Do&lt;br&gt;&lt;br&gt;&lt;/strong&gt;&lt;ul&gt;&lt;li&gt;Design and deploy scalable AI/ML and LLM-powered applications that drive measurable business impact &lt;/li&gt;&lt;li&gt;Build and maintain data pipelines, vector databases, and AI infrastructure for production systems &lt;/li&gt;&lt;li&gt;Develop backend APIs and integrations using Python and SQL to embed AI capabilities into business processes &lt;/li&gt;&lt;li&gt;Manage the AI lifecycle including deployment, monitoring, optimization, and retraining &lt;/li&gt;&lt;li&gt;Implement evaluation frameworks and AI safety guardrails to ensure reliable and responsible AI usage &lt;br&gt;&lt;br&gt;&lt;/li&gt;&lt;/ul&gt;&lt;strong&gt;What To Expect In This Role&lt;br&gt;&lt;br&gt;&lt;/strong&gt;&lt;ul&gt;&lt;li&gt;A highly hands-on engineering role focused on building production-ready AI solutions &lt;/li&gt;&lt;li&gt;Collaboration with cross-functional teams including Analytics, Operations, Finance, and Business Intelligence &lt;/li&gt;&lt;li&gt;Opportunities to work with emerging technologies including RAG pipelines, agentic workflows, and Voice AI &lt;/li&gt;&lt;li&gt;A fast-paced environment where innovation, ownership, and problem-solving are highly valued &lt;br&gt;&lt;br&gt;&lt;/li&gt;&lt;/ul&gt;&lt;strong&gt;You’ll&lt;/strong&gt; &lt;strong&gt;Be a Great Fit If You&lt;br&gt;&lt;br&gt;&lt;/strong&gt;&lt;ul&gt;&lt;li&gt;Strong software engineering foundation with experience building scalable backend systems &lt;/li&gt;&lt;li&gt;Experience working with AI/ML frameworks such as PyTorch, TensorFlow, or scikit-learn &lt;/li&gt;&lt;li&gt;Familiarity with LLM orchestration tools like LangChain or LlamaIndex &lt;/li&gt;&lt;li&gt;Comfortable translating technical concepts into business-friendly solutions &lt;/li&gt;&lt;li&gt;Able to manage multiple priorities and proactively identify technical risks &lt;br&gt;&lt;br&gt;&lt;/li&gt;&lt;/ul&gt;&lt;strong&gt;What You Bring – Required&lt;br&gt;&lt;br&gt;&lt;/strong&gt;&lt;ul&gt;&lt;li&gt;Bachelor’s or Master’s degree in computer science, AI, Software Engineering, or a related field &lt;/li&gt;&lt;li&gt;2+ years of experience building and deploying AI/ML or LLM applications in production environments &lt;/li&gt;&lt;li&gt;Strong proficiency in Python and SQL &lt;/li&gt;&lt;li&gt;Experience managing data pipelines and MLOps tooling &lt;br&gt;&lt;br&gt;&lt;/li&gt;&lt;/ul&gt;&lt;strong&gt;What You Bring – Nice To Have&lt;br&gt;&lt;br&gt;&lt;/strong&gt;&lt;ul&gt;&lt;li&gt;Experience with Azure, AWS, or GCP along with Docker and Kubernetes &lt;/li&gt;&lt;li&gt;Familiarity with Voice AI, Speech-to-Text (STT), and Text-to-Speech (TTS) technologies &lt;/li&gt;&lt;li&gt;Experience working in Financial Services or other regulated industries &lt;br&gt;&lt;br&gt;&lt;/li&gt;&lt;/ul&gt;&lt;strong&gt;Success Looks Like (6–12 Months)&lt;br&gt;&lt;br&gt;&lt;/strong&gt;&lt;ul&gt;&lt;li&gt;Successfully deploys production-ready AI solutions that improve operational efficiency and reduce manual effort &lt;/li&gt;&lt;li&gt;Builds scalable and reliable AI pipelines, APIs, and automation workflows with minimal oversight &lt;/li&gt;&lt;li&gt;Becomes a trusted technical partner to Business Intelligence, Operations, Finance, and other business teams &lt;br&gt;&lt;br&gt;&lt;/li&gt;&lt;/ul&gt;&lt;strong&gt;Why Goal Solutions&lt;br&gt;&lt;br&gt;&lt;/strong&gt;&lt;ul&gt;&lt;li&gt;Competitive salary + bonus eligibility &lt;/li&gt;&lt;li&gt;401(k) with 4% company match &lt;/li&gt;&lt;li&gt;Medical, dental, vision, and HSA ($1,700 annual contribution) &lt;/li&gt;&lt;li&gt;14 paid holidays (including your birthday) &lt;/li&gt;&lt;li&gt;Paid parental leave, tuition reimbursement, and long-term incentives? &lt;br&gt;&lt;br&gt;&lt;/li&gt;&lt;/ul&gt;&lt;strong&gt;Apply&lt;br&gt;&lt;br&gt;&lt;/strong&gt;Apply if you’re passionate about building intelligent systems, solving complex problems, and turning AI innovation into real business impact.&lt;br&gt;&lt;br&gt;&lt;strong&gt;Work Authorization Requirement&lt;br&gt;&lt;br&gt;&lt;/strong&gt;Applicants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sponsorship.&lt;br&gt;&lt;br&gt;&lt;strong&gt;Please Note:&lt;/strong&gt; To ensure a fair and consistent hiring process, candidates should not contact hiring managers or other Goal Solutions employees directly.</x:v>
      </x:c>
      <x:c r="AB73" s="68" t="str">
        <x:v>Description
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
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
What You’ll Do
- Design and deploy scalable AI/ML and LLM-powered applications that drive measurable business impact 
- Build and maintain data pipelines, vector databases, and AI infrastructure for production systems 
- Develop backend APIs and integrations using Python and SQL to embed AI capabilities into business processes 
- Manage the AI lifecycle including deployment, monitoring, optimization, and retraining 
- Implement evaluation frameworks and AI safety guardrails to ensure reliable and responsible AI usage 
What To Expect In This Role
- A highly hands-on engineering role focused on building production-ready AI solutions 
- Collaboration with cross-functional teams including Analytics, Operations, Finance, and Business Intelligence 
- Opportunities to work with emerging technologies including RAG pipelines, agentic workflows, and Voice AI 
- A fast-paced environment where innovation, ownership, and problem-solving are highly valued 
You’ll Be a Great Fit If You
- Strong software engineering foundation with experience building scalable backend systems 
- Experience working with AI/ML frameworks such as PyTorch, TensorFlow, or scikit-learn 
- Familiarity with LLM orchestration tools like LangChain or LlamaIndex 
- Comfortable translating technical concepts into business-friendly solutions 
- Able to manage multiple priorities and proactively identify technical risks 
What You Bring – Required
- Bachelor’s or Master’s degree in computer science, AI, Software Engineering, or a related field 
- 2+ years of experience building and deploying AI/ML or LLM applications in production environments 
- Strong proficiency in Python and SQL 
- Experience managing data pipelines and MLOps tooling 
What You Bring – Nice To Have
- Experience with Azure, AWS, or GCP along with Docker and Kubernetes 
- Familiarity with Voice AI, Speech-to-Text (STT), and Text-to-Speech (TTS) technologies 
- Experience working in Financial Services or other regulated industries 
Success Looks Like (6–12 Months)
- Successfully deploys production-ready AI solutions that improve operational efficiency and reduce manual effort 
- Builds scalable and reliable AI pipelines, APIs, and automation workflows with minimal oversight 
- Becomes a trusted technical partner to Business Intelligence, Operations, Finance, and other business teams 
Why Goal Solutions
- Competitive salary + bonus eligibility 
- 401(k) with 4% company match 
- Medical, dental, vision, and HSA ($1,700 annual contribution) 
- 14 paid holidays (including your birthday) 
- Paid parental leave, tuition reimbursement, and long-term incentives? 
Apply
Apply if you’re passionate about building intelligent systems, solving complex problems, and turning AI innovation into real business impact.
Work Authorization Requirement
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
Please Note: To ensure a fair and consistent hiring process, candidates should not contact hiring managers or other Goal Solutions employees directly.</x:v>
      </x:c>
      <x:c r="AC73" s="68" t="str">
        <x:v>Not Applicable</x:v>
      </x:c>
      <x:c r="AD73" s="68" t="str">
        <x:v>Full-time</x:v>
      </x:c>
      <x:c r="AE73" s="68" t="str">
        <x:v>Engineering and Information Technology</x:v>
      </x:c>
      <x:c r="AF73" s="68" t="str">
        <x:v>Financial Services</x:v>
      </x:c>
      <x:c r="AG73" s="68" t="str">
        <x:v>https://www.linkedin.com/jobs/search/?position=1&amp;pageNum=0&amp;keywords=AI+Engineer&amp;location=United+States&amp;distance=0&amp;f_TPR=r604800</x:v>
      </x:c>
      <x:c r="AH73" s="68" t="str">
        <x:v>{'type': 'PostalAddress', 'streetAddress': 'Downtown', 'addressLocality': 'San Diego', 'addressRegion': 'CA', 'postalCode': '92101', 'addressCountry': 'US'}</x:v>
      </x:c>
      <x:c r="AI73" s="68" t="str">
        <x:v>http://www.goalsolutions.com</x:v>
      </x:c>
      <x:c r="AJ73" s="68" t="str">
        <x:v>We are an innovative financial services company delivering comprehensive and customizable solutions.</x:v>
      </x:c>
      <x:c r="AK73" s="68"/>
      <x:c r="AL73" s="68"/>
      <x:c r="AM73" s="68"/>
      <x:c r="AN73" s="68"/>
      <x:c r="AO73" s="68"/>
      <x:c r="AP73" s="68"/>
    </x:row>
    <x:row r="74" s="25" customFormat="1" ht="22" customHeight="1">
      <x:c r="A74" s="68" t="str">
        <x:v>4450247897</x:v>
      </x:c>
      <x:c r="B74" s="68" t="str">
        <x:v>AI Engineer</x:v>
      </x:c>
      <x:c r="C74" s="68" t="str">
        <x:v>SysTechCorp Inc</x:v>
      </x:c>
      <x:c r="D74" s="68" t="str">
        <x:v>San Diego Metropolitan Area</x:v>
      </x:c>
      <x:c r="E74" s="68" t="str">
        <x:v>Applied</x:v>
      </x:c>
      <x:c r="F74" s="68"/>
      <x:c r="G74" s="69"/>
      <x:c r="H74" s="85" t="str">
        <x:v>2026-08-06</x:v>
      </x:c>
      <x:c r="I74" s="85"/>
      <x:c r="J74" s="68" t="str">
        <x:v>200</x:v>
      </x:c>
      <x:c r="K74" s="70"/>
      <x:c r="L74" s="86"/>
      <x:c r="M74" s="87"/>
      <x:c r="N74" s="71"/>
      <x:c r="O74" s="88"/>
      <x:c r="P74" s="89"/>
      <x:c r="Q74" s="89"/>
      <x:c r="R74" s="89"/>
      <x:c r="S74" s="73"/>
      <x:c r="T74" s="68"/>
      <x:c r="U74" s="68" t="str">
        <x:v>https://www.linkedin.com/jobs/view/ai-engineer-at-systechcorp-inc-4450247897?position=8&amp;pageNum=0&amp;refId=s48tP56EQnHdC6rkSZpaEg%3D%3D&amp;trackingId=C0czzwoJ4%2FWEhSq87NdweA%3D%3D</x:v>
      </x:c>
      <x:c r="V74" s="68" t="str">
        <x:v>C0czzwoJ4/WEhSq87NdweA==</x:v>
      </x:c>
      <x:c r="W74" s="68" t="str">
        <x:v>s48tP56EQnHdC6rkSZpaEg==</x:v>
      </x:c>
      <x:c r="X74" s="68" t="str">
        <x:v>https://www.linkedin.com/company/systechcorp?trk=public_jobs_jserp-result_job-search-card-subtitle</x:v>
      </x:c>
      <x:c r="Y74" s="68" t="str">
        <x:v>https://media.licdn.com/dms/image/v2/C4E0BAQF4_89WMJ2_-g/company-logo_100_100/company-logo_100_100/0/1630577398062/nihaki_systems_inc_logo?e=2147483647&amp;v=beta&amp;t=nKw-cDN-5LT5e892FFtKZUDG4AxwVc9ImbWZ_hUiSLI</x:v>
      </x:c>
      <x:c r="Z74" s="68"/>
      <x:c r="AA74" s="68" t="str">
        <x:v>&lt;p&gt;In this role, you will:&lt;/p&gt;&lt;p&gt;&lt;br&gt;&lt;/p&gt;&lt;p&gt;Design and build intelligent, autonomous AI systems that enable to push the boundaries of enterprise-scale agentic technology.&lt;/p&gt;&lt;p&gt;Lead the development of scalable, secure, cloud-native frameworks that allow AI agents to reason, plan, act, and collaborate in real-world production environments.&lt;/p&gt;&lt;p&gt;Create foundational runtime components, automation capabilities, and infrastructure that power next-generation GenAI and Agentic AI solutions.&lt;/p&gt;&lt;p&gt;Work closely with AI researchers, platform teams, and product leadership to bring advanced agentic capabilities from concept to production across data and AI platform.&lt;/p&gt;&lt;p&gt;Enable enterprise customers to leverage powerful, resilient, and safely governed AI agents that drive measurable business value.&lt;/p&gt;&lt;p&gt;Who You’ll Work With&lt;/p&gt;&lt;p&gt;&lt;br&gt;&lt;/p&gt;&lt;p&gt;On our team, we:&lt;/p&gt;&lt;p&gt;&lt;br&gt;&lt;/p&gt;&lt;p&gt;Are part of global engineering organization, responsible for building the technologies that power VantageCloud, our unified data and AI platform.&lt;/p&gt;&lt;p&gt;Operate at the intersection of cloud computing, advanced analytics, and AI-driven automation to help enterprises unify and analyze data across hybrid and multi-cloud environments.&lt;/p&gt;&lt;p&gt;Solve highly complex challenges in scalability, performance, interoperability, and intelligent automation to help customers transform data into insights and innovation.&lt;/p&gt;&lt;p&gt;Collaborate across research, architecture, platform engineering, and product teams to shape the future of enterprise AI.&lt;/p&gt;&lt;p&gt;This position reports to the AI Engineering Leadership Team within Global Engineering Organization.&lt;/p&gt;&lt;p&gt;&lt;br&gt;&lt;/p&gt;&lt;p&gt;What Makes You a Qualified Candidate&lt;/p&gt;&lt;p&gt;&lt;br&gt;&lt;/p&gt;&lt;p&gt;Proven experience designing, developing, and deploying autonomous AI agents at scale.&lt;/p&gt;&lt;p&gt;Expertise in building agent-based architectures and runtime components for next-generation AI/LLM systems.&lt;/p&gt;&lt;p&gt;Hands-on experience implementing governance, safety, and compliance in agentic AI environments.&lt;/p&gt;&lt;p&gt;Ability to partner effectively with product leaders, architects, and platform teams to define enterprise-grade AI capabilities.&lt;/p&gt;&lt;p&gt;Strong technical expertise in intelligent automation, generative AI, and agentic system design.&lt;/p&gt;&lt;p&gt;What You’ll Bring&lt;/p&gt;&lt;p&gt;&lt;br&gt;&lt;/p&gt;&lt;p&gt;Bachelor’s or Master’s degree in Computer Science, Engineering, Data Science, or a related field.&lt;/p&gt;&lt;p&gt;2+ years of experience in software architecture, backend development, or AI infrastructure, with strong Python skills and familiarity with Java, Go, and C++.&lt;/p&gt;&lt;p&gt;Deep expertise in agent development, LLM integration, prompt engineering, runtime systems, and AI tooling.&lt;/p&gt;&lt;p&gt;Experience with MCP servers, vector databases, RAG systems, graph-based memory, and NLP frameworks.&lt;/p&gt;&lt;p&gt;Ability to design core agentic capabilities such as memory management, context handling, observability, and identity.&lt;/p&gt;&lt;p&gt;Strong background in distributed systems, backend services, API design, and cloud-native deployments (AWS, Azure, GCP).&lt;/p&gt;&lt;p&gt;Proficiency with containerization, CI/CD pipelines, and scalable production infrastructure.&lt;/p&gt;&lt;p&gt;Excellent communication skills, strong documentation practices, and the ability to mentor and collaborate across teams.&lt;/p&gt;&lt;p&gt;Passion for building safe, human-aligned autonomous systems and extending open-source tools to drive innovation.&lt;/p&gt;&lt;p&gt;&lt;br&gt;&lt;/p&gt;&lt;p&gt;We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professionally.&lt;/p&gt;&lt;p&gt;&lt;br&gt;&lt;/p&gt;&lt;p&gt;We are an anti-racist company because our commitment to Diversity, Equity, and Inclusion is more than a statement—it is a deep commitment to fostering an equitable environment that celebrates people for who they are.&lt;/p&gt;</x:v>
      </x:c>
      <x:c r="AB74" s="68" t="str">
        <x:v>
In this role, you will:
Design and build intelligent, autonomous AI systems that enable to push the boundaries of enterprise-scale agentic technology.
Lead the development of scalable, secure, cloud-native frameworks that allow AI agents to reason, plan, act, and collaborate in real-world production environments.
Create foundational runtime components, automation capabilities, and infrastructure that power next-generation GenAI and Agentic AI solutions.
Work closely with AI researchers, platform teams, and product leadership to bring advanced agentic capabilities from concept to production across data and AI platform.
Enable enterprise customers to leverage powerful, resilient, and safely governed AI agents that drive measurable business value.
Who You’ll Work With
On our team, we:
Are part of global engineering organization, responsible for building the technologies that power VantageCloud, our unified data and AI platform.
Operate at the intersection of cloud computing, advanced analytics, and AI-driven automation to help enterprises unify and analyze data across hybrid and multi-cloud environments.
Solve highly complex challenges in scalability, performance, interoperability, and intelligent automation to help customers transform data into insights and innovation.
Collaborate across research, architecture, platform engineering, and product teams to shape the future of enterprise AI.
This position reports to the AI Engineering Leadership Team within Global Engineering Organization.
What Makes You a Qualified Candidate
Proven experience designing, developing, and deploying autonomous AI agents at scale.
Expertise in building agent-based architectures and runtime components for next-generation AI/LLM systems.
Hands-on experience implementing governance, safety, and compliance in agentic AI environments.
Ability to partner effectively with product leaders, architects, and platform teams to define enterprise-grade AI capabilities.
Strong technical expertise in intelligent automation, generative AI, and agentic system design.
What You’ll Bring
Bachelor’s or Master’s degree in Computer Science, Engineering, Data Science, or a related field.
2+ years of experience in software architecture, backend development, or AI infrastructure, with strong Python skills and familiarity with Java, Go, and C++.
Deep expertise in agent development, LLM integration, prompt engineering, runtime systems, and AI tooling.
Experience with MCP servers, vector databases, RAG systems, graph-based memory, and NLP frameworks.
Ability to design core agentic capabilities such as memory management, context handling, observability, and identity.
Strong background in distributed systems, backend services, API design, and cloud-native deployments (AWS, Azure, GCP).
Proficiency with containerization, CI/CD pipelines, and scalable production infrastructure.
Excellent communication skills, strong documentation practices, and the ability to mentor and collaborate across teams.
Passion for building safe, human-aligned autonomous systems and extending open-source tools to drive innovation.
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
We are an anti-racist company because our commitment to Diversity, Equity, and Inclusion is more than a statement—it is a deep commitment to fostering an equitable environment that celebrates people for who they are.</x:v>
      </x:c>
      <x:c r="AC74" s="68" t="str">
        <x:v>Mid-Senior level</x:v>
      </x:c>
      <x:c r="AD74" s="68" t="str">
        <x:v>Contract</x:v>
      </x:c>
      <x:c r="AE74" s="68" t="str">
        <x:v>Information Technology</x:v>
      </x:c>
      <x:c r="AF74" s="68" t="str">
        <x:v>Software Development</x:v>
      </x:c>
      <x:c r="AG74" s="68" t="str">
        <x:v>https://www.linkedin.com/jobs/search/?position=1&amp;pageNum=0&amp;keywords=AI+Engineer&amp;location=United+States&amp;distance=0&amp;f_TPR=r604800</x:v>
      </x:c>
      <x:c r="AH74" s="68" t="str">
        <x:v>{'type': 'PostalAddress', 'addressCountry': 'US'}</x:v>
      </x:c>
      <x:c r="AI74" s="68" t="str">
        <x:v>http://www.systechus.com</x:v>
      </x:c>
      <x:c r="AJ74" s="68" t="str">
        <x:v>Delivering right solutions to the real problems in IT consulting</x:v>
      </x:c>
      <x:c r="AK74" s="68"/>
      <x:c r="AL74" s="68"/>
      <x:c r="AM74" s="68"/>
      <x:c r="AN74" s="68"/>
      <x:c r="AO74" s="68"/>
      <x:c r="AP74" s="68"/>
    </x:row>
    <x:row r="75" s="25" customFormat="1" ht="22" customHeight="1">
      <x:c r="A75" s="68" t="str">
        <x:v>4422677912</x:v>
      </x:c>
      <x:c r="B75" s="68" t="str">
        <x:v>AI Engineer II</x:v>
      </x:c>
      <x:c r="C75" s="68" t="str">
        <x:v>Kirkland &amp; Ellis</x:v>
      </x:c>
      <x:c r="D75" s="68" t="str">
        <x:v>Chicago, IL</x:v>
      </x:c>
      <x:c r="E75" s="68" t="str">
        <x:v>Applied</x:v>
      </x:c>
      <x:c r="F75" s="68"/>
      <x:c r="G75" s="69"/>
      <x:c r="H75" s="85" t="str">
        <x:v>2026-08-06</x:v>
      </x:c>
      <x:c r="I75" s="85"/>
      <x:c r="J75" s="68" t="str">
        <x:v>200</x:v>
      </x:c>
      <x:c r="K75" s="70"/>
      <x:c r="L75" s="86"/>
      <x:c r="M75" s="87"/>
      <x:c r="N75" s="71"/>
      <x:c r="O75" s="88"/>
      <x:c r="P75" s="89"/>
      <x:c r="Q75" s="89"/>
      <x:c r="R75" s="89"/>
      <x:c r="S75" s="73"/>
      <x:c r="T75" s="68"/>
      <x:c r="U75" s="68" t="str">
        <x:v>https://www.linkedin.com/jobs/view/ai-engineer-ii-at-kirkland-ellis-4422677912?position=11&amp;pageNum=0&amp;refId=s48tP56EQnHdC6rkSZpaEg%3D%3D&amp;trackingId=4Zn2jlUr2HGhCQ5oC%2BrUrQ%3D%3D</x:v>
      </x:c>
      <x:c r="V75" s="68" t="str">
        <x:v>4Zn2jlUr2HGhCQ5oC+rUrQ==</x:v>
      </x:c>
      <x:c r="W75" s="68" t="str">
        <x:v>s48tP56EQnHdC6rkSZpaEg==</x:v>
      </x:c>
      <x:c r="X75" s="68" t="str">
        <x:v>https://www.linkedin.com/company/kirkland-&amp;-ellis-llp?trk=public_jobs_jserp-result_job-search-card-subtitle</x:v>
      </x:c>
      <x:c r="Y75" s="68" t="str">
        <x:v>https://media.licdn.com/dms/image/v2/D4E0BAQGgIcoBAvd7-w/company-logo_100_100/company-logo_100_100/0/1729257482495/kirkland__ellis_llp_logo?e=2147483647&amp;v=beta&amp;t=MDX-7NavpOzq1uK99icPl1FIUL6Bre4dIAtXhy_OzyY</x:v>
      </x:c>
      <x:c r="Z75" s="68"/>
      <x:c r="AA75" s="68" t="str">
        <x:v>&lt;strong&gt;About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x:v>
      </x:c>
      <x:c r="AB75" s="68" t="str">
        <x:v>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x:v>
      </x:c>
      <x:c r="AC75" s="68" t="str">
        <x:v>Not Applicable</x:v>
      </x:c>
      <x:c r="AD75" s="68" t="str">
        <x:v>Full-time</x:v>
      </x:c>
      <x:c r="AE75" s="68" t="str">
        <x:v>Engineering and Information Technology</x:v>
      </x:c>
      <x:c r="AF75" s="68" t="str">
        <x:v>Law Practice</x:v>
      </x:c>
      <x:c r="AG75" s="68" t="str">
        <x:v>https://www.linkedin.com/jobs/search/?position=1&amp;pageNum=0&amp;keywords=AI+Engineer&amp;location=United+States&amp;distance=0&amp;f_TPR=r604800</x:v>
      </x:c>
      <x:c r="AH75" s="68" t="str">
        <x:v>{'type': 'PostalAddress', 'streetAddress': '333 W Wolf Point Plaza', 'addressLocality': 'Chicago', 'addressRegion': 'Illinois', 'postalCode': '60654', 'addressCountry': 'US'}</x:v>
      </x:c>
      <x:c r="AI75" s="68" t="str">
        <x:v>http://www.kirkland.com</x:v>
      </x:c>
      <x:c r="AJ75" s="68"/>
      <x:c r="AK75" s="68"/>
      <x:c r="AL75" s="68"/>
      <x:c r="AM75" s="68"/>
      <x:c r="AN75" s="68"/>
      <x:c r="AO75" s="68"/>
      <x:c r="AP75" s="68"/>
    </x:row>
    <x:row r="76" s="25" customFormat="1" ht="22" customHeight="1">
      <x:c r="A76" s="68" t="str">
        <x:v>4449678156</x:v>
      </x:c>
      <x:c r="B76" s="68" t="str">
        <x:v>Applied AI Engineer</x:v>
      </x:c>
      <x:c r="C76" s="68" t="str">
        <x:v>Zello</x:v>
      </x:c>
      <x:c r="D76" s="68" t="str">
        <x:v>Austin, TX</x:v>
      </x:c>
      <x:c r="E76" s="68" t="str">
        <x:v>Applied</x:v>
      </x:c>
      <x:c r="F76" s="68"/>
      <x:c r="G76" s="69"/>
      <x:c r="H76" s="85" t="str">
        <x:v>2026-08-05</x:v>
      </x:c>
      <x:c r="I76" s="85"/>
      <x:c r="J76" s="68" t="str">
        <x:v>200</x:v>
      </x:c>
      <x:c r="K76" s="70"/>
      <x:c r="L76" s="86"/>
      <x:c r="M76" s="87"/>
      <x:c r="N76" s="71"/>
      <x:c r="O76" s="88"/>
      <x:c r="P76" s="89"/>
      <x:c r="Q76" s="89"/>
      <x:c r="R76" s="89"/>
      <x:c r="S76" s="73"/>
      <x:c r="T76" s="68"/>
      <x:c r="U76" s="68" t="str">
        <x:v>https://www.linkedin.com/jobs/view/applied-ai-engineer-at-zello-4449678156?position=6&amp;pageNum=0&amp;refId=s48tP56EQnHdC6rkSZpaEg%3D%3D&amp;trackingId=yst%2FBpYsZIuOeYJAQ%2Fp8%2FA%3D%3D</x:v>
      </x:c>
      <x:c r="V76" s="68" t="str">
        <x:v>yst/BpYsZIuOeYJAQ/p8/A==</x:v>
      </x:c>
      <x:c r="W76" s="68" t="str">
        <x:v>s48tP56EQnHdC6rkSZpaEg==</x:v>
      </x:c>
      <x:c r="X76" s="68" t="str">
        <x:v>https://www.linkedin.com/company/zello-inc?trk=public_jobs_jserp-result_job-search-card-subtitle</x:v>
      </x:c>
      <x:c r="Y76" s="68" t="str">
        <x:v>https://media.licdn.com/dms/image/v2/C4E0BAQHeLsCnHest-Q/company-logo_100_100/company-logo_100_100/0/1639496058084/zello_inc_logo?e=2147483647&amp;v=beta&amp;t=oCCkeAlWS3je8cBFTjAc6gYwz8N7AOun1dlnKr4fPW4</x:v>
      </x:c>
      <x:c r="Z76" s="68"/>
      <x:c r="AA76" s="68" t="str">
        <x:v>&lt;strong&gt;IMPORTANT: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&lt;br&gt;&lt;br&gt;&lt;/strong&gt;&lt;strong&gt;About Zello&lt;br&gt;&lt;br&gt;&lt;/strong&gt;Zello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month.&lt;br&gt;&lt;br&gt;At Zello, our company values are at the heart of what we do everyday. We’re proud to serve the frontline, we’re privileged to connect people in times of crisis across the globe, and we’re honored to support first responders.&lt;br&gt;&lt;br&gt;And this is where you come in.&lt;br&gt;&lt;br&gt;The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improvement.&lt;br&gt;&lt;br&gt;After a successful first year, you will&lt;br&gt;&lt;br&gt;&lt;ul&gt;&lt;li&gt;Shipped at least 3 production-grade AI agents within your first 90 days that internal teams actively use (Slack-integrated agents, workflow automations, data-driven assistants)&lt;/li&gt;&lt;li&gt;Built evaluation harnesses for deployed agents with automated quality scoring and regression detection&lt;/li&gt;&lt;li&gt;Integrated AI tools with Zello's existing systems (Slack, Jira, HubSpot, Snowflake) via APIs, with proper logging and monitoring in place&lt;/li&gt;&lt;li&gt;Established reusable code patterns and component libraries that make future agent development faster&lt;/li&gt;&lt;li&gt;Taken ownership of deployed agent operations: monitoring performance, overseeing human reinforcement workflows, triaging failures, and driving measurable improvement in agent quality over time&lt;/li&gt;&lt;li&gt;Independently scoped and shipped AI tools for new use cases, whether identified by stakeholders or discovered on your own&lt;br&gt;&lt;br&gt;&lt;/li&gt;&lt;/ul&gt;What you'll do&lt;br&gt;&lt;br&gt;&lt;ul&gt;&lt;li&gt;Build AI agents and automations end-to-end: from scoping the use case through deployment and ongoing maintenance&lt;/li&gt;&lt;li&gt;Write production Python code that integrates LLM APIs (prompt construction, response handling, context management, tool use) into real workflows&lt;/li&gt;&lt;li&gt;Connect AI tools with Zello's systems (Slack, Jira, HubSpot, Snowflake) through APIs, handling authentication, rate limits, error cases, and logging&lt;/li&gt;&lt;li&gt;Monitor deployed agents in production: track quality metrics, triage failures, and ship improvements based on real usage data&lt;/li&gt;&lt;li&gt;Manage human reinforcement operations: review agent outputs, maintain feedback loops, and tune agent behavior based on reinforcement signals&lt;/li&gt;&lt;li&gt;Build and maintain evaluation harnesses that catch regressions and measure agent quality programmatically&lt;/li&gt;&lt;li&gt;Create reusable components, patterns, and documentation that raise the bar for future development on the team&lt;/li&gt;&lt;li&gt;Communicate clearly with technical and non-technical stakeholders about what you've built, what's working, and where things need attention&lt;br&gt;&lt;br&gt;&lt;/li&gt;&lt;/ul&gt;Who you are&lt;br&gt;&lt;br&gt;&lt;ul&gt;&lt;li&gt;You have 2-5 years of professional experience in software engineering, AI engineering, or a related technical role. You're past the point of needing to learn basic professional work habits, but you haven't calcified into a single way of doing things.&lt;/li&gt;&lt;li&gt;You've written production Python and can point to real things you've built with it: tools, integrations, automations, shipped products. Not just notebooks or coursework.&lt;/li&gt;&lt;li&gt;You understand LLM APIs at a practical level. You can construct prompts, manage context windows, reason about token economics, and work with tool-use patterns.&lt;/li&gt;&lt;li&gt;You decompose messy problems into clean components with well-defined interfaces. When you describe a system you've built, people can follow the logic because you think in terms of abstractions, dependencies, and failure modes.&lt;/li&gt;&lt;li&gt;You've integrated systems via APIs before. You can read API docs, handle auth, manage rate limits, and deal with the inevitable edge cases of real-world integrations without getting stuck.&lt;/li&gt;&lt;li&gt;You have a quality instinct. You naturally ask "how do I know this is working?" and "how will I know when it breaks?" You write tests and build monitoring because you care about what happens after you ship, not because someone told you to.&lt;/li&gt;&lt;li&gt;You're comfortable with operational ownership. You don't treat deployment as the finish line. You monitor what you build, notice when things drift, review agent outputs, and do the sometimes unglamorous work of keeping AI systems healthy in production.&lt;/li&gt;&lt;li&gt;You pick up new frameworks, APIs, and domains quickly. You can point to examples of going from zero to productive in an unfamiliar area.&lt;/li&gt;&lt;li&gt;Your code is clean and documented. Other people can read it, understand it, and extend it without needing a walkthrough from you.&lt;br&gt;&lt;br&gt;&lt;/li&gt;&lt;/ul&gt;This role is not&lt;br&gt;&lt;br&gt;&lt;ul&gt;&lt;li&gt;A research role. We're building on top of foundation model APIs, not training models or publishing papers.&lt;/li&gt;&lt;li&gt;A data engineering role. The existing team covers data infrastructure. You'll consume data, not build pipelines.&lt;/li&gt;&lt;li&gt;A DevOps or infrastructure role. You'll deploy your own agents, but you won't be managing servers or building CI/CD from scratch.&lt;/li&gt;&lt;li&gt;A solo project. You'll work closely with the Data &amp;amp; AI team and cross-functional stakeholders who use what you build.&lt;br&gt;&lt;br&gt;&lt;/li&gt;&lt;/ul&gt;We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us!&lt;br&gt;&lt;br&gt;&lt;em&gt;Zello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laws.&lt;br&gt;&lt;br&gt;&lt;/em&gt;All Zello personnel are required to comply with defined security, privacy, and compliance requirements applicable to their role along with requirements that are applicable to all Zello personnel.</x:v>
      </x:c>
      <x:c r="AB76" s="68" t="str">
        <x:v>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
After a successful first year, you will
- Shipped at least 3 production-grade AI agents within your first 90 days that internal teams actively use (Slack-integrated agents, workflow automations, data-driven assistants)
- Built evaluation harnesses for deployed agents with automated quality scoring and regression detection
- Integrated AI tools with Zello's existing systems (Slack, Jira, HubSpot, Snowflake) via APIs, with proper logging and monitoring in place
- Established reusable code patterns and component libraries that make future agent development faster
- Taken ownership of deployed agent operations: monitoring performance, overseeing human reinforcement workflows, triaging failures, and driving measurable improvement in agent quality over time
- Independently scoped and shipped AI tools for new use cases, whether identified by stakeholders or discovered on your own
What you'll do
- Build AI agents and automations end-to-end: from scoping the use case through deployment and ongoing maintenance
- Write production Python code that integrates LLM APIs (prompt construction, response handling, context management, tool use) into real workflows
- Connect AI tools with Zello's systems (Slack, Jira, HubSpot, Snowflake) through APIs, handling authentication, rate limits, error cases, and logging
- Monitor deployed agents in production: track quality metrics, triage failures, and ship improvements based on real usage data
- Manage human reinforcement operations: review agent outputs, maintain feedback loops, and tune agent behavior based on reinforcement signals
- Build and maintain evaluation harnesses that catch regressions and measure agent quality programmatically
- Create reusable components, patterns, and documentation that raise the bar for future development on the team
- Communicate clearly with technical and non-technical stakeholders about what you've built, what's working, and where things need attention
Who you are
- You have 2-5 years of professional experience in software engineering, AI engineering, or a related technical role. You're past the point of needing to learn basic professional work habits, but you haven't calcified into a single way of doing things.
- You've written production Python and can point to real things you've built with it: tools, integrations, automations, shipped products. Not just notebooks or coursework.
- You understand LLM APIs at a practical level. You can construct prompts, manage context windows, reason about token economics, and work with tool-use patterns.
- You decompose messy problems into clean components with well-defined interfaces. When you describe a system you've built, people can follow the logic because you think in terms of abstractions, dependencies, and failure modes.
- You've integrated systems via APIs before. You can read API docs, handle auth, manage rate limits, and deal with the inevitable edge cases of real-world integrations without getting stuck.
- You have a quality instinct. You naturally ask "how do I know this is working?" and "how will I know when it breaks?" You write tests and build monitoring because you care about what happens after you ship, not because someone told you to.
- You're comfortable with operational ownership. You don't treat deployment as the finish line. You monitor what you build, notice when things drift, review agent outputs, and do the sometimes unglamorous work of keeping AI systems healthy in production.
- You pick up new frameworks, APIs, and domains quickly. You can point to examples of going from zero to productive in an unfamiliar area.
- Your code is clean and documented. Other people can read it, understand it, and extend it without needing a walkthrough from you.
This role is not
- A research role. We're building on top of foundation model APIs, not training models or publishing papers.
- A data engineering role. The existing team covers data infrastructure. You'll consume data, not build pipelines.
- A DevOps or infrastructure role. You'll deploy your own agents, but you won't be managing servers or building CI/CD from scratch.
- A solo project. You'll work closely with the Data &amp;amp; AI team and cross-functional stakeholders who use what you build.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x:v>
      </x:c>
      <x:c r="AC76" s="68" t="str">
        <x:v>Not Applicable</x:v>
      </x:c>
      <x:c r="AD76" s="68" t="str">
        <x:v>Full-time</x:v>
      </x:c>
      <x:c r="AE76" s="68" t="str">
        <x:v>Engineering and Information Technology</x:v>
      </x:c>
      <x:c r="AF76" s="68" t="str">
        <x:v>Software Development</x:v>
      </x:c>
      <x:c r="AG76" s="68" t="str">
        <x:v>https://www.linkedin.com/jobs/search/?position=1&amp;pageNum=0&amp;keywords=AI+Engineer&amp;location=United+States&amp;distance=0&amp;f_TPR=r604800</x:v>
      </x:c>
      <x:c r="AH76" s="68" t="str">
        <x:v>{'type': 'PostalAddress', 'streetAddress': '1717 W 6th St', 'addressLocality': 'Austin', 'addressRegion': 'Texas', 'postalCode': '78703', 'addressCountry': 'US'}</x:v>
      </x:c>
      <x:c r="AI76" s="68" t="str">
        <x:v>https://zello.com/</x:v>
      </x:c>
      <x:c r="AJ76" s="68" t="str">
        <x:v>We’re bringing instant voice communications to millions of frontline workers, empowering them to build a better world.</x:v>
      </x:c>
      <x:c r="AK76" s="68"/>
      <x:c r="AL76" s="68"/>
      <x:c r="AM76" s="68"/>
      <x:c r="AN76" s="68"/>
      <x:c r="AO76" s="68"/>
      <x:c r="AP76" s="68"/>
    </x:row>
    <x:row r="77" s="25" customFormat="1" ht="22" customHeight="1">
      <x:c r="A77" s="68" t="str">
        <x:v>4434916817</x:v>
      </x:c>
      <x:c r="B77" s="68" t="str">
        <x:v>Software Engineer, Applied AI</x:v>
      </x:c>
      <x:c r="C77" s="68" t="str">
        <x:v>Norm Ai</x:v>
      </x:c>
      <x:c r="D77" s="68" t="str">
        <x:v>New York, NY</x:v>
      </x:c>
      <x:c r="E77" s="68" t="str">
        <x:v>Applied</x:v>
      </x:c>
      <x:c r="F77" s="68"/>
      <x:c r="G77" s="69"/>
      <x:c r="H77" s="85" t="str">
        <x:v>2026-08-11</x:v>
      </x:c>
      <x:c r="I77" s="85"/>
      <x:c r="J77" s="68" t="str">
        <x:v>200</x:v>
      </x:c>
      <x:c r="K77" s="70"/>
      <x:c r="L77" s="86"/>
      <x:c r="M77" s="87"/>
      <x:c r="N77" s="71"/>
      <x:c r="O77" s="88"/>
      <x:c r="P77" s="89"/>
      <x:c r="Q77" s="89"/>
      <x:c r="R77" s="89"/>
      <x:c r="S77" s="73"/>
      <x:c r="T77" s="68"/>
      <x:c r="U77" s="68" t="str">
        <x:v>https://www.linkedin.com/jobs/view/software-engineer-applied-ai-at-norm-ai-4434916817?position=6&amp;pageNum=6&amp;refId=Ed5K7tZiMYMhtD9NVKS4Ew%3D%3D&amp;trackingId=aIsxty7h6242kS8%2BwwRY3w%3D%3D</x:v>
      </x:c>
      <x:c r="V77" s="68" t="str">
        <x:v>aIsxty7h6242kS8+wwRY3w==</x:v>
      </x:c>
      <x:c r="W77" s="68" t="str">
        <x:v>Ed5K7tZiMYMhtD9NVKS4Ew==</x:v>
      </x:c>
      <x:c r="X77" s="68" t="str">
        <x:v>https://www.linkedin.com/company/normative-ai?trk=public_jobs_jserp-result_job-search-card-subtitle</x:v>
      </x:c>
      <x:c r="Y77" s="68" t="str">
        <x:v>https://media.licdn.com/dms/image/v2/D4E0BAQHQFlSfTuJOuQ/company-logo_100_100/B4EZ_M8UBWH8AM-/0/1785849790818/normative_ai_logo?e=2147483647&amp;v=beta&amp;t=adln4S6IIY7K4a25fyJJllbWPBbZ7lTi_KyJJY0ypHI</x:v>
      </x:c>
      <x:c r="Z77" s="68"/>
      <x:c r="AA77" s="68" t="str">
        <x:v>&lt;strong&gt;About Norm Ai&lt;br&gt;&lt;br&gt;&lt;/strong&gt;Norm Ai, the agentic law company, has a client base with a combined $30 trillion in assets under management.&lt;br&gt;&lt;br&gt;Norm Ai pioneered Legal Engineering, the process that empowers lawyers to build and supervise domain-specific AI agents with Norm’s proprietary suite of no-code software tools. Norm Ai technology is deployed inside many of the largest and most consequential institutions in the world.&lt;br&gt;&lt;br&gt;Norm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products.&lt;br&gt;&lt;br&gt;&lt;strong&gt;AI Fluency&lt;br&gt;&lt;br&gt;&lt;/strong&gt;Norm Ai expects all team members to be fluent in AI. Successful candidates actively use AI in their day-to-day work to support thinking, creation, and problem-solving. They use it to improve the quality and speed of their work and to continuously refine how work gets done end-to-end.&lt;br&gt;&lt;br&gt;Candidates should be prepared to demonstrate and discuss their AI usage throughout the interview process, including concrete examples of tools, workflows, and outcomes. We look for practical, hands-on experience, not theoretical familiarity.&lt;br&gt;&lt;br&gt;This Role&lt;br&gt;&lt;br&gt;As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platform.&lt;br&gt;&lt;br&gt;&lt;strong&gt;You Will&lt;br&gt;&lt;br&gt;&lt;/strong&gt;&lt;ul&gt;&lt;li&gt;Build and integrate LLM-backed workflows, including prompt systems, retrieval, memory, evaluation, and feedback loops.&lt;/li&gt;&lt;li&gt;Develop new AI workflows and systems that make cutting-edge AI available across our platform.&lt;/li&gt;&lt;li&gt;Regularly contribute performant, high-quality code to our production codebase, conforming to the high standards of our engineering team.&lt;/li&gt;&lt;li&gt;Oversee data collection, experimentation, and data analysis to continuously improve the platform, working closely with domain experts.&lt;/li&gt;&lt;li&gt;Build comprehensive benchmarks and evaluation suites to measure AI agent performance and guide future improvements to the platform.&lt;/li&gt;&lt;li&gt;Architect the system of underlying prompts that power our AI agents, engineering effective context structures and automated pipelines for prompt optimization.&lt;/li&gt;&lt;li&gt;Enable continuous learning in our AI agents through memory, feedback, and client-specific preferences.&lt;/li&gt;&lt;li&gt;Develop a legal and compliance domain expertise to assist with all of the above.&lt;br&gt;&lt;br&gt;&lt;/li&gt;&lt;/ul&gt;&lt;strong&gt;Skills &amp;amp; Experience - Core&lt;br&gt;&lt;br&gt;&lt;/strong&gt;&lt;ul&gt;&lt;li&gt;4+ years of experience as a software engineer, applied AI engineer, ML engineer, or data scientist&lt;/li&gt;&lt;li&gt;Strong programming skills in Python, proficiency in Docker and data storage technologies such as Postgres and Redis&lt;/li&gt;&lt;li&gt;Experience working with production systems, including debugging, monitoring, and iterating on live software.&lt;/li&gt;&lt;li&gt;Willingness to work with frontend technologies (Typescript, React, etc.) to bridge the gap between research ideas and the productization of new initiatives&lt;/li&gt;&lt;li&gt;Experience in AI/ML infrastructure and tooling&lt;/li&gt;&lt;li&gt;Experience integrating AI or ML components into real-world systems (LLMs, classical ML, or hybrid approaches)&lt;/li&gt;&lt;li&gt;Interest in becoming a legal and compliance domain expert and working closely with professionals in the field&lt;/li&gt;&lt;li&gt;Strong reading, writing, and quantitative skills, as well as a data-driven approach to problem solving&lt;br&gt;&lt;br&gt;&lt;/li&gt;&lt;/ul&gt;&lt;strong&gt;Skills &amp;amp; Experience - Pluses&lt;br&gt;&lt;br&gt;&lt;/strong&gt;&lt;ul&gt;&lt;li&gt;Familiarity with and an eagerness to apply the latest AI research&lt;/li&gt;&lt;li&gt;Experience applying traditional ML systems and processes in the context of state-of-the-art LLMs&lt;/li&gt;&lt;li&gt;Experience deriving insights from PDFs and other unstructured or semi-structured data types&lt;/li&gt;&lt;li&gt;Experience with context engineering and memory in the context of AI agents&lt;/li&gt;&lt;li&gt;Experience modeling uncertainty in ML systems&lt;br&gt;&lt;br&gt;&lt;/li&gt;&lt;/ul&gt;Comp and Benefits&lt;br&gt;&lt;br&gt;&lt;em&gt;Senior Engineer: $190,000 -$250,000 per year + equity&lt;br&gt;&lt;br&gt;&lt;/em&gt;&lt;em&gt;Staff Engineer: $240,000 - $280,000 per year + equity&lt;br&gt;&lt;br&gt;&lt;/em&gt;The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constant.&lt;br&gt;&lt;br&gt;&lt;strong&gt;We embrace a flexible hybrid model, typically in-office 3–4 days per week.&lt;br&gt;&lt;br&gt;&lt;/strong&gt;&lt;em&gt;If you’re interested in the role but aren’t sure whether you’re a good fit, we’d still like to hear from you.&lt;br&gt;&lt;br&gt;&lt;/em&gt;To learn more about Norm Ai, visit our &lt;strong&gt;website&lt;/strong&gt;.</x:v>
      </x:c>
      <x:c r="AB77" s="68" t="str">
        <x:v>About Norm Ai
Norm Ai, the agentic law company, has a client base with a combined $30 trillion in assets under management.
Norm Ai pioneered Legal Engineering, the process that empowers lawyers to build and supervise domain-specific AI agents with Norm’s proprietary suite of no-code software tools. Norm Ai technology is deployed inside many of the largest and most consequential institutions in the world.
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
You Will
- Build and integrate LLM-backed workflows, including prompt systems, retrieval, memory, evaluation, and feedback loops.
- Develop new AI workflows and systems that make cutting-edge AI available across our platform.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AI agent performance and guide future improvements to the platform.
- Architect the system of underlying prompts that power our AI agents, engineering effective context structures and automated pipelines for prompt optimization.
- Enable continuous learning in our AI agents through memory, feedback, and client-specific preferences.
- Develop a legal and compliance domain expertise to assist with all of the above.
Skills &amp;amp; Experience - Core
- 4+ years of experience as a software engineer, applied AI engineer, ML engineer, or data scientist
- Strong programming skills in Python, proficiency in Docker and data storage technologies such as Postgres and Redis
- Experience working with production systems, including debugging, monitoring, and iterating on live software.
- Willingness to work with frontend technologies (Typescript, React, etc.) to bridge the gap between research ideas and the productization of new initiatives
- Experience in AI/ML infrastructure and tooling
- Experience integrating AI or ML components into real-world systems (LLMs, classical ML, or hybrid approaches)
- Interest in becoming a legal and compliance domain expert and working closely with professionals in the field
- Strong reading, writing, and quantitative skills, as well as a data-driven approach to problem solving
Skills &amp;amp;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Senior Engineer: $190,000 -$250,000 per year + equity
Staff Engineer: $240,000 - $280,000 per year +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x:v>
      </x:c>
      <x:c r="AC77" s="68" t="str">
        <x:v>Not Applicable</x:v>
      </x:c>
      <x:c r="AD77" s="68" t="str">
        <x:v>Full-time</x:v>
      </x:c>
      <x:c r="AE77" s="68" t="str">
        <x:v>Engineering</x:v>
      </x:c>
      <x:c r="AF77" s="68" t="str">
        <x:v>Software Development</x:v>
      </x:c>
      <x:c r="AG77" s="68" t="str">
        <x:v>https://www.linkedin.com/jobs/search/?position=1&amp;pageNum=0&amp;keywords=AI+Engineer&amp;location=United+States&amp;distance=0&amp;f_TPR=r604800</x:v>
      </x:c>
      <x:c r="AH77" s="68" t="str">
        <x:v>{'type': 'PostalAddress', 'addressLocality': 'New York', 'addressRegion': 'NY', 'postalCode': '10007', 'addressCountry': 'US'}</x:v>
      </x:c>
      <x:c r="AI77" s="68" t="str">
        <x:v>https://norm.ai/</x:v>
      </x:c>
      <x:c r="AJ77" s="68" t="str">
        <x:v>Setting the Norms of Agentic Law</x:v>
      </x:c>
      <x:c r="AK77" s="68"/>
      <x:c r="AL77" s="68"/>
      <x:c r="AM77" s="68"/>
      <x:c r="AN77" s="68"/>
      <x:c r="AO77" s="68"/>
      <x:c r="AP77" s="68"/>
    </x:row>
    <x:row r="78" s="25" customFormat="1" ht="22" customHeight="1">
      <x:c r="A78" s="68" t="str">
        <x:v>4412397626</x:v>
      </x:c>
      <x:c r="B78" s="68" t="str">
        <x:v>AI Product Engineer</x:v>
      </x:c>
      <x:c r="C78" s="68" t="str">
        <x:v>Seerist</x:v>
      </x:c>
      <x:c r="D78" s="68" t="str">
        <x:v>Reston, VA</x:v>
      </x:c>
      <x:c r="E78" s="68" t="str">
        <x:v>Failed</x:v>
      </x:c>
      <x:c r="F78" s="68"/>
      <x:c r="G78" s="69"/>
      <x:c r="H78" s="85" t="str">
        <x:v>2026-08-05</x:v>
      </x:c>
      <x:c r="I78" s="85"/>
      <x:c r="J78" s="68" t="str">
        <x:v>200</x:v>
      </x:c>
      <x:c r="K78" s="70"/>
      <x:c r="L78" s="86"/>
      <x:c r="M78" s="87"/>
      <x:c r="N78" s="71"/>
      <x:c r="O78" s="88"/>
      <x:c r="P78" s="89"/>
      <x:c r="Q78" s="89"/>
      <x:c r="R78" s="89"/>
      <x:c r="S78" s="73"/>
      <x:c r="T78" s="68"/>
      <x:c r="U78" s="68" t="str">
        <x:v>https://www.linkedin.com/jobs/view/ai-product-engineer-at-seerist-4412397626?position=5&amp;pageNum=6&amp;refId=Ed5K7tZiMYMhtD9NVKS4Ew%3D%3D&amp;trackingId=iUgASvPpBFRkj0bwCeZpQw%3D%3D</x:v>
      </x:c>
      <x:c r="V78" s="68" t="str">
        <x:v>iUgASvPpBFRkj0bwCeZpQw==</x:v>
      </x:c>
      <x:c r="W78" s="68" t="str">
        <x:v>Ed5K7tZiMYMhtD9NVKS4Ew==</x:v>
      </x:c>
      <x:c r="X78" s="68" t="str">
        <x:v>https://www.linkedin.com/company/seeristinc?trk=public_jobs_jserp-result_job-search-card-subtitle</x:v>
      </x:c>
      <x:c r="Y78" s="68" t="str">
        <x:v>https://media.licdn.com/dms/image/v2/C4E0BAQEZ8n8buWuvpA/company-logo_100_100/company-logo_100_100/0/1659416926810/geospark_analytics_logo?e=2147483647&amp;v=beta&amp;t=xtTjAcgX0JgCyteeyPmIxkGcFhXVldxa0amfWfA5emo</x:v>
      </x:c>
      <x:c r="Z78" s="68"/>
      <x:c r="AA78" s="68" t="str">
        <x:v>&lt;strong&gt;Company Overview: &lt;br&gt;&lt;br&gt;&lt;/strong&gt;Join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decisions.&lt;br&gt;&lt;br&gt;&lt;strong&gt; Job Description: &lt;br&gt;&lt;br&gt;&lt;/strong&gt;We're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organization.&lt;br&gt;&lt;br&gt;&lt;strong&gt; &lt;strong&gt; What You'll Do &lt;/strong&gt; &lt;br&gt;&lt;br&gt;&lt;br&gt;&lt;/strong&gt;&lt;ul&gt;&lt;li&gt;Work closely with our intelligence and product teams to create, build, and deliver novel, innovative capabilities powered by AI and machine learning.&lt;/li&gt;&lt;li&gt;Apply machine learning, NLP/text analytics, and generative AI (including large language models) to real problems in the threat intelligence domain.&lt;/li&gt;&lt;li&gt;Prototype rapidly, turning half-formed ideas into working demos that sharpen the team's thinking.&lt;/li&gt;&lt;li&gt;Build and maintain production services on AWS, writing clean Python and JavaScript across the stack.&lt;/li&gt;&lt;li&gt;Stay current on emerging AI/ML techniques and proactively surface "how could we use this?" opportunities relevant to Seerist's domain.&lt;/li&gt;&lt;li&gt;Collaborate closely with product, engineering, and solutions teams to ensure what gets built actually solves customer problems.&lt;br&gt;&lt;br&gt;&lt;br&gt;&lt;/li&gt;&lt;/ul&gt;&lt;strong&gt; &lt;strong&gt; What We're Looking For &lt;/strong&gt; &lt;/strong&gt;&lt;strong&gt; Mindset &amp;amp; Working Style &lt;br&gt;&lt;br&gt;&lt;br&gt;&lt;/strong&gt;&lt;ul&gt;&lt;li&gt;Agency. You don't wait for a perfectly scoped ticket. You hear a fuzzy idea, ask the right questions, and start moving.&lt;/li&gt;&lt;li&gt;Collaborative challenge. You push back thoughtfully when something doesn't make sense, and you welcome the same in return. The process of building is a conversation, not a handoff.&lt;/li&gt;&lt;li&gt;Intellectual curiosity. You're always learning, reading papers, trying new tools, exploring adjacent domains, and you naturally connect what you're learning to what the team is building.&lt;/li&gt;&lt;li&gt;Communication. You can explain complex technical concepts clearly to non-technical stakeholders, write well, and keep people in the loop without being asked.&lt;br&gt;&lt;br&gt;&lt;br&gt;&lt;/li&gt;&lt;/ul&gt;&lt;strong&gt;Technical Skills&lt;br&gt;&lt;br&gt;&lt;br&gt;&lt;/strong&gt;&lt;ul&gt;&lt;li&gt;Strong foundation in machine learning and data science — you've trained models, evaluated them rigorously, and put them into production.&lt;/li&gt;&lt;li&gt;Hands-on experience with generative AI and large language models (fine-tuning, prompt engineering, RAG architectures, evaluation).&lt;/li&gt;&lt;li&gt;Proficiency in Python for data/ML work and JavaScript for web development.&lt;/li&gt;&lt;li&gt;Experience with text analytics and NLP, classification, extraction, summarization, entity resolution.&lt;/li&gt;&lt;li&gt;Comfortable building and deploying on Amazon Web Services (Lambda, SageMaker, ECS, S3, etc.).&lt;/li&gt;&lt;li&gt;Able to work across the stack, from data pipelines to APIs to front-end interfaces.&lt;br&gt;&lt;br&gt;&lt;br&gt;&lt;/li&gt;&lt;/ul&gt;&lt;strong&gt; Background &lt;br&gt;&lt;br&gt;&lt;br&gt;&lt;/strong&gt;&lt;ul&gt;&lt;li&gt;Bachelor's degree in a relevant field (computer science, data science, mathematics, or similar).&lt;/li&gt;&lt;li&gt;Exceptional written and verbal communication skills, demonstrated through academic and professional experience.&lt;/li&gt;&lt;li&gt;3+ years of professional experience in a role combining data science, ML engineering, or AI product development.&lt;/li&gt;&lt;li&gt;Experience shipping ML/AI features in a product context (not just notebooks and research).&lt;br&gt;&lt;br&gt;&lt;br&gt;&lt;/li&gt;&lt;/ul&gt;&lt;strong&gt; Nice to Have &lt;br&gt;&lt;br&gt;&lt;br&gt;&lt;/strong&gt;&lt;ul&gt;&lt;li&gt;Familiarity with the threat intelligence, geopolitical risk, or security domain.&lt;/li&gt;&lt;li&gt;Experience working in a startup or growth-stage environment where scope is fluid.&lt;/li&gt;&lt;li&gt;Exposure to event-driven architectures or real-time data processing.&lt;br&gt;&lt;br&gt;&lt;br&gt;&lt;/li&gt;&lt;/ul&gt;&lt;strong&gt; What Seerist offers: &lt;br&gt;&lt;br&gt;&lt;br&gt;&lt;/strong&gt;&lt;ul&gt;&lt;li&gt;Opportunity to work in a fast-moving, high-growth SaaS company&lt;/li&gt;&lt;li&gt;Competitive salary, bonus plan, 401(k) matching, and long term incentives&lt;/li&gt;&lt;li&gt;Comprehensive benefits including health, dental, vision, and life plans&lt;/li&gt;&lt;li&gt;Strong, results oriented culture&lt;/li&gt;&lt;li&gt;Remote and office-based work (3+ days in Reston office each week)&lt;/li&gt;&lt;li&gt;Paid Time Off&lt;/li&gt;&lt;li&gt;Paid Parental Leave (16 Weeks Primary, 4 Weeks Secondary)&lt;/li&gt;&lt;li&gt;Tuition Reimbursement&lt;/li&gt;&lt;li&gt;Professional Development Stipend&lt;br&gt;&lt;br&gt;&lt;br&gt;&lt;/li&gt;&lt;/ul&gt;Seerist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x:v>
      </x:c>
      <x:c r="AB78" s="68" t="str">
        <x:v>Company Overview: 
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
 Job Description: 
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
  What You'll Do  
- Work closely with our intelligence and product teams to create, build, and deliver novel, innovative capabilities powered by AI and machine learning.
- Apply machine learning, NLP/text analytics, and generative AI (including large language models) to real problems in the threat intelligence domain.
- Prototype rapidly, turning half-formed ideas into working demos that sharpen the team's thinking.
- Build and maintain production services on AWS, writing clean Python and JavaScript across the stack.
- Stay current on emerging AI/ML techniques and proactively surface "how could we use this?" opportunities relevant to Seerist's domain.
- Collaborate closely with product, engineering, and solutions teams to ensure what gets built actually solves customer problems.
  What We're Looking For   Mindset &amp;amp; Working Style 
- Agency. You don't wait for a perfectly scoped ticket. You hear a fuzzy idea, ask the right questions, and start moving.
- Collaborative challenge. You push back thoughtfully when something doesn't make sense, and you welcome the same in return. The process of building is a conversation, not a handoff.
- Intellectual curiosity. You're always learning, reading papers, trying new tools, exploring adjacent domains, and you naturally connect what you're learning to what the team is building.
- Communication. You can explain complex technical concepts clearly to non-technical stakeholders, write well, and keep people in the loop without being asked.
Technical Skills
- Strong foundation in machine learning and data science — you've trained models, evaluated them rigorously, and put them into production.
- Hands-on experience with generative AI and large language models (fine-tuning, prompt engineering, RAG architectures, evaluation).
- Proficiency in Python for data/ML work and JavaScript for web development.
- Experience with text analytics and NLP, classification, extraction, summarization, entity resolution.
- Comfortable building and deploying on Amazon Web Services (Lambda, SageMaker, ECS, S3, etc.).
- Able to work across the stack, from data pipelines to APIs to front-end interfaces.
 Background 
- Bachelor's degree in a relevant field (computer science, data science, mathematics, or similar).
- Exceptional written and verbal communication skills, demonstrated through academic and professional experience.
- 3+ years of professional experience in a role combining data science, ML engineering, or AI product development.
- Experience shipping ML/AI features in a product context (not just notebooks and research).
 Nice to Have 
- Familiarity with the threat intelligence, geopolitical risk, or security domain.
- Experience working in a startup or growth-stage environment where scope is fluid.
- Exposure to event-driven architectures or real-time data processing.
 What Seerist offers: 
- Opportunity to work in a fast-moving, high-growth SaaS company
- Competitive salary, bonus plan, 401(k) matching, and long term incentives
- Comprehensive benefits including health, dental, vision, and life plans
- Strong, results oriented culture
- Remote and office-based work (3+ days in Reston office each week)
- Paid Time Off
- Paid Parental Leave (16 Weeks Primary, 4 Weeks Secondary)
- Tuition Reimbursement
- Professional Development Stipend
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x:v>
      </x:c>
      <x:c r="AC78" s="68" t="str">
        <x:v>Not Applicable</x:v>
      </x:c>
      <x:c r="AD78" s="68" t="str">
        <x:v>Full-time</x:v>
      </x:c>
      <x:c r="AE78" s="68" t="str">
        <x:v>Engineering and Information Technology</x:v>
      </x:c>
      <x:c r="AF78" s="68" t="str">
        <x:v>Software Development</x:v>
      </x:c>
      <x:c r="AG78" s="68" t="str">
        <x:v>https://www.linkedin.com/jobs/search/?position=1&amp;pageNum=0&amp;keywords=AI+Engineer&amp;location=United+States&amp;distance=0&amp;f_TPR=r604800</x:v>
      </x:c>
      <x:c r="AH78" s="68" t="str">
        <x:v>{'type': 'PostalAddress', 'streetAddress': '11440 Commerce Park Dr', 'addressLocality': 'Reston', 'addressRegion': 'Virginia', 'postalCode': '20191', 'addressCountry': 'US'}</x:v>
      </x:c>
      <x:c r="AI78" s="68" t="str">
        <x:v>http://www.seerist.com</x:v>
      </x:c>
      <x:c r="AJ78" s="68" t="str">
        <x:v>Decisions before Disruption</x:v>
      </x:c>
      <x:c r="AK78" s="68"/>
      <x:c r="AL78" s="68"/>
      <x:c r="AM78" s="68"/>
      <x:c r="AN78" s="68"/>
      <x:c r="AO78" s="68"/>
      <x:c r="AP78" s="68"/>
    </x:row>
    <x:row r="79" s="25" customFormat="1" ht="22" customHeight="1">
      <x:c r="A79" s="68" t="str">
        <x:v>4449268230</x:v>
      </x:c>
      <x:c r="B79" s="68" t="str">
        <x:v>AI Engineer - Forward Deployed (FDE)</x:v>
      </x:c>
      <x:c r="C79" s="68" t="str">
        <x:v>Moring AI</x:v>
      </x:c>
      <x:c r="D79" s="68" t="str">
        <x:v>Atlanta, GA</x:v>
      </x:c>
      <x:c r="E79" s="68" t="str">
        <x:v>Requires CAPTCHA</x:v>
      </x:c>
      <x:c r="F79" s="68"/>
      <x:c r="G79" s="69"/>
      <x:c r="H79" s="85" t="str">
        <x:v>2026-08-08</x:v>
      </x:c>
      <x:c r="I79" s="85"/>
      <x:c r="J79" s="68" t="str">
        <x:v>192</x:v>
      </x:c>
      <x:c r="K79" s="70"/>
      <x:c r="L79" s="86"/>
      <x:c r="M79" s="87"/>
      <x:c r="N79" s="71"/>
      <x:c r="O79" s="88"/>
      <x:c r="P79" s="89"/>
      <x:c r="Q79" s="89"/>
      <x:c r="R79" s="89"/>
      <x:c r="S79" s="73"/>
      <x:c r="T79" s="68"/>
      <x:c r="U79" s="68" t="str">
        <x:v>https://www.linkedin.com/jobs/view/ai-engineer-forward-deployed-fde-at-moring-ai-4449268230?position=7&amp;pageNum=6&amp;refId=Ed5K7tZiMYMhtD9NVKS4Ew%3D%3D&amp;trackingId=%2Bd0blRk%2FupYDIFJDft4mQg%3D%3D</x:v>
      </x:c>
      <x:c r="V79" s="68" t="str">
        <x:v>+d0blRk/upYDIFJDft4mQg==</x:v>
      </x:c>
      <x:c r="W79" s="68" t="str">
        <x:v>Ed5K7tZiMYMhtD9NVKS4Ew==</x:v>
      </x:c>
      <x:c r="X79" s="68" t="str">
        <x:v>https://www.linkedin.com/company/moringai?trk=public_jobs_jserp-result_job-search-card-subtitle</x:v>
      </x:c>
      <x:c r="Y79" s="68" t="str">
        <x:v>https://media.licdn.com/dms/image/v2/D4D0BAQFulrBAkRM_rQ/company-logo_100_100/B4DZ.h5qyNK8AM-/0/1785127677421/moringai_logo?e=2147483647&amp;v=beta&amp;t=eZwiVxnvjqcg9hAkatfC78cbnZuboa81VeCPvl76AGc</x:v>
      </x:c>
      <x:c r="Z79" s="68"/>
      <x:c r="AA79" s="68" t="str">
        <x:v>&lt;p&gt;&lt;strong&gt;&lt;em&gt;About Us&lt;/em&gt;&lt;/strong&gt;&lt;/p&gt;&lt;p&gt;&lt;br&gt;&lt;/p&gt;&lt;p&gt;Moring.ai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fast.&lt;/p&gt;&lt;p&gt;&lt;br&gt;&lt;/p&gt;&lt;p&gt;&lt;strong&gt;The Role&lt;/strong&gt;&lt;/p&gt;&lt;p&gt;&lt;br&gt;&lt;/p&gt;&lt;p&gt;We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them.&lt;/p&gt;&lt;p&gt;&lt;br&gt;&lt;/p&gt;&lt;p&gt;We're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twice.&lt;/p&gt;&lt;p&gt;&lt;br&gt;&lt;/p&gt;&lt;p&gt;You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building.&lt;/p&gt;&lt;p&gt;This is also a forward-deployed role. We build with our enterprise customers, not just for them, so you'll spend real time embedded with client teams, making our AI work inside their systems and security constraints, then bringing what you learn back into the product.&lt;/p&gt;&lt;p&gt;&lt;br&gt;&lt;/p&gt;&lt;p&gt;&lt;strong&gt;What You'll Do&lt;/strong&gt;&lt;/p&gt;&lt;p&gt;&lt;br&gt;&lt;/p&gt;&lt;p&gt;&lt;strong&gt;Build AI capabilities.&lt;/strong&gt;&lt;/p&gt;&lt;ul&gt;&lt;li&gt;Build and ship agents, agentic workflows, and LLM-powered features,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(MCP).&lt;/li&gt;&lt;/ul&gt;&lt;p&gt;&lt;br&gt;&lt;/p&gt;&lt;p&gt;&lt;strong&gt;Deploy with our enterprise customers.&lt;/strong&gt;&lt;/p&gt;&lt;ul&gt;&lt;li&gt;Embed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their AWS accounts and private networks, with their security model in mind, not just ours.&lt;/li&gt;&lt;li&gt;Support demos and working sessions with client engineers and business stakeholders.&lt;/li&gt;&lt;li&gt;Turn field learnings, integration patterns, recurring requests, platform gaps, into product improvements.&lt;/li&gt;&lt;/ul&gt;&lt;p&gt;&lt;br&gt;&lt;/p&gt;&lt;p&gt;&lt;strong&gt;Build the platform underneath.&lt;/strong&gt;&lt;/p&gt;&lt;ul&gt;&lt;li&gt;Contribute to our model-access layer, agent orchestration, and evaluation harness, the primitives every AI feature builds on.&lt;/li&gt;&lt;li&gt;Add tracing, cost and latency dashboards, and quality monitoring so AI changes ship with evidence, not vibes.&lt;/li&gt;&lt;/ul&gt;&lt;p&gt;&lt;br&gt;&lt;/p&gt;&lt;p&gt;&lt;strong&gt;Own your work.&lt;/strong&gt;&lt;/p&gt;&lt;ul&gt;&lt;li&gt;Take ownership of features from design through deployment, and operate what you build.&lt;/li&gt;&lt;li&gt;Write the tests, evals, and observability that let you ship fast with confidence.&lt;/li&gt;&lt;/ul&gt;&lt;p&gt;&lt;br&gt;&lt;/p&gt;&lt;p&gt;&lt;strong&gt;What we are Looking For&lt;/strong&gt;&lt;/p&gt;&lt;ul&gt;&lt;li&gt;3–6 years of software engineering experience shipping production systems,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and how to measure whether it's actually working.&lt;/li&gt;&lt;li&gt;Willingness to work directly with enterprise customers and communicate trade-offs in plain language.&lt;/li&gt;&lt;/ul&gt;&lt;p&gt;&lt;br&gt;&lt;/p&gt;&lt;p&gt;&lt;strong&gt;Nice to Have&lt;/strong&gt;&lt;/p&gt;&lt;ul&gt;&lt;li&gt;Experience integrating with enterprise systems,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customers.&lt;/li&gt;&lt;/ul&gt;&lt;p&gt;&lt;br&gt;&lt;/p&gt;&lt;p&gt;&lt;strong&gt;How You Work&lt;/strong&gt;&lt;/p&gt;&lt;ul&gt;&lt;li&gt;You own outcomes, not tickets,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codebase.&lt;/li&gt;&lt;/ul&gt;&lt;p&gt;&lt;br&gt;&lt;/p&gt;&lt;p&gt;&lt;strong&gt;Details&lt;/strong&gt;&lt;/p&gt;&lt;p&gt;&lt;strong&gt;Location: &amp;nbsp;&lt;/strong&gt;Atlanta, GA, USA (100% on-site).&lt;/p&gt;&lt;p&gt;&lt;strong&gt;Type: &amp;nbsp;&lt;/strong&gt;Full-time individual contributor.&lt;/p&gt;&lt;p&gt;&lt;strong&gt;Travel: &amp;nbsp;&lt;/strong&gt;Up to 25% to customer sites.&lt;/p&gt;&lt;p&gt;&lt;br&gt;&lt;/p&gt;&lt;p&gt;&lt;strong&gt;&lt;em&gt;Work Authorisation: &amp;nbsp;&lt;/em&gt;&lt;/strong&gt;&lt;strong&gt;&lt;em&gt;You must be authorised to work in the United States; visa sponsorship is not available for this role at this time.&lt;/em&gt;&lt;/strong&gt;&lt;/p&gt;&lt;p&gt;&lt;br&gt;&lt;/p&gt;&lt;p&gt;&lt;strong&gt;&lt;em&gt;To apply, send your resume and a short note on an AI agent, application, or system you've built to hr@moring.ai.&lt;/em&gt;&lt;/strong&gt;&lt;/p&gt;&lt;p&gt;&lt;br&gt;&lt;/p&gt;</x:v>
      </x:c>
      <x:c r="AB79" s="68" t="str">
        <x:v>
About Us
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
The Role
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
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
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
This is also a forward-deployed role. We build with our enterprise customers, not just for them, so you'll spend real time embedded with client teams, making our AI work inside their systems and security constraints, then bringing what you learn back into the product.
What You'll Do
Build AI capabilities.
- Build and ship agents, agentic workflows, and LLM-powered features,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their AWS accounts and private networks, with their security model in mind, not just ours.
- Support demos and working sessions with client engineers and business stakeholders.
- Turn field learnings, integration patterns, recurring requests, platform gaps, into product improvements.
Build the platform underneath.
- Contribute to our model-access layer, agent orchestration, and evaluation harness,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 are Looking For
- 3–6 years of software engineering experience shipping production systems,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and how to measure whether it's actually working.
- Willingness to work directly with enterprise customers and communicate trade-offs in plain language.
Nice to Have
- Experience integrating with enterprise systems,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&amp;nbsp;Atlanta, GA, USA (100% on-site).
Type: &amp;nbsp;Full-time individual contributor.
Travel: &amp;nbsp;Up to 25% to customer sites.
Work Authorisation: &amp;nbsp;You must be authorised to work in the United States; visa sponsorship is not available for this role at this time.
To apply, send your resume and a short note on an AI agent, application, or system you've built to hr@moring.ai.
</x:v>
      </x:c>
      <x:c r="AC79" s="68" t="str">
        <x:v>Entry level</x:v>
      </x:c>
      <x:c r="AD79" s="68" t="str">
        <x:v>Full-time</x:v>
      </x:c>
      <x:c r="AE79" s="68" t="str">
        <x:v>Engineering and Information Technology</x:v>
      </x:c>
      <x:c r="AF79" s="68" t="str">
        <x:v>Software Development</x:v>
      </x:c>
      <x:c r="AG79" s="68" t="str">
        <x:v>https://www.linkedin.com/jobs/search/?position=1&amp;pageNum=0&amp;keywords=AI+Engineer&amp;location=United+States&amp;distance=0&amp;f_TPR=r604800</x:v>
      </x:c>
      <x:c r="AH79" s="68" t="str">
        <x:v>{'type': 'PostalAddress', 'addressLocality': 'San Ramon', 'addressRegion': 'California', 'postalCode': '94583\n', 'addressCountry': 'US'}</x:v>
      </x:c>
      <x:c r="AI79" s="68" t="str">
        <x:v>https://moring.ai/</x:v>
      </x:c>
      <x:c r="AJ79" s="68" t="str">
        <x:v>The Control plane for Enterprise AI.</x:v>
      </x:c>
      <x:c r="AK79" s="68"/>
      <x:c r="AL79" s="68"/>
      <x:c r="AM79" s="68"/>
      <x:c r="AN79" s="68"/>
      <x:c r="AO79" s="68"/>
      <x:c r="AP79" s="68"/>
    </x:row>
    <x:row r="80" s="25" customFormat="1" ht="22" customHeight="1">
      <x:c r="A80" s="68" t="str">
        <x:v>4388983552</x:v>
      </x:c>
      <x:c r="B80" s="68" t="str">
        <x:v>AI Engineer-Agentic Workflow</x:v>
      </x:c>
      <x:c r="C80" s="68" t="str">
        <x:v>Stott and May</x:v>
      </x:c>
      <x:c r="D80" s="68" t="str">
        <x:v>New York, NY</x:v>
      </x:c>
      <x:c r="E80" s="68" t="str">
        <x:v>Applied</x:v>
      </x:c>
      <x:c r="F80" s="68"/>
      <x:c r="G80" s="69"/>
      <x:c r="H80" s="85" t="str">
        <x:v>2026-08-04</x:v>
      </x:c>
      <x:c r="I80" s="85"/>
      <x:c r="J80" s="68" t="str">
        <x:v>200</x:v>
      </x:c>
      <x:c r="K80" s="70"/>
      <x:c r="L80" s="86"/>
      <x:c r="M80" s="87"/>
      <x:c r="N80" s="71"/>
      <x:c r="O80" s="88"/>
      <x:c r="P80" s="89"/>
      <x:c r="Q80" s="89"/>
      <x:c r="R80" s="89"/>
      <x:c r="S80" s="73"/>
      <x:c r="T80" s="68"/>
      <x:c r="U80" s="68" t="str">
        <x:v>https://www.linkedin.com/jobs/view/ai-engineer-agentic-workflow-at-stott-and-may-4388983552?position=4&amp;pageNum=6&amp;refId=Ed5K7tZiMYMhtD9NVKS4Ew%3D%3D&amp;trackingId=GqHhIpAQ5FxzjrWw1t4Xpg%3D%3D</x:v>
      </x:c>
      <x:c r="V80" s="68" t="str">
        <x:v>GqHhIpAQ5FxzjrWw1t4Xpg==</x:v>
      </x:c>
      <x:c r="W80" s="68" t="str">
        <x:v>Ed5K7tZiMYMhtD9NVKS4Ew==</x:v>
      </x:c>
      <x:c r="X80" s="68" t="str">
        <x:v>https://uk.linkedin.com/company/stott-and-may?trk=public_jobs_jserp-result_job-search-card-subtitle</x:v>
      </x:c>
      <x:c r="Y80" s="68" t="str">
        <x:v>https://media.licdn.com/dms/image/v2/D4E0BAQEkWXS_H91Q-A/company-logo_100_100/company-logo_100_100/0/1719826350940/stott_and_may_logo?e=2147483647&amp;v=beta&amp;t=Z-2NAvqpjpx61zaIq6xGf2Q31KKBrubu7E65oUm503s</x:v>
      </x:c>
      <x:c r="Z80" s="68"/>
      <x:c r="AA80" s="68" t="str">
        <x:v>&lt;p&gt;&lt;strong&gt;AI Engineer – Agentic AI / LLM Systems&lt;/strong&gt;&lt;/p&gt;&lt;p&gt;&lt;br&gt;&lt;/p&gt;&lt;p&gt;&lt;strong&gt;New York | Series A Startup&lt;/strong&gt;&lt;/p&gt;&lt;p&gt;&lt;strong&gt;$180–$250k + Equity&lt;/strong&gt;&lt;/p&gt;&lt;p&gt;&lt;strong&gt;In office (5 days)&lt;/strong&gt;&lt;/p&gt;&lt;p&gt;&lt;strong&gt;No visa sponsorship available&lt;/strong&gt;&lt;/p&gt;&lt;p&gt;&lt;br&gt;&lt;/p&gt;&lt;p&gt;A fast-growing, venture-backed AI company is hiring AI Engineers to build systems where AI doesn’t just respond, but actually &lt;strong&gt;learns and executes real enterprise workflows&lt;/strong&gt;.&lt;/p&gt;&lt;p&gt;The team is developing AI agents that can understand how businesses operate, generate structured instructions, and take action across complex systems, with built-in &lt;strong&gt;confidence scoring&lt;/strong&gt; and &lt;strong&gt;human-in-the-loop decisioning&lt;/strong&gt;.&lt;/p&gt;&lt;p&gt;&lt;br&gt;&lt;/p&gt;&lt;p&gt;&lt;strong&gt;The role&lt;/strong&gt;&lt;/p&gt;&lt;ul&gt;&lt;li&gt;Build and deploy &lt;strong&gt;agentic AI systems&lt;/strong&gt; that automate complex, real-world workflows&lt;/li&gt;&lt;li&gt;Design systems for &lt;strong&gt;LLM orchestration, tool usage, and multi-step execution&lt;/strong&gt;&lt;/li&gt;&lt;li&gt;Develop &lt;strong&gt;production-grade systems in Python&lt;/strong&gt;&lt;/li&gt;&lt;li&gt;Implement &lt;strong&gt;RAG pipelines, multi-agent systems, and learning workflows&lt;/strong&gt;&lt;/li&gt;&lt;li&gt;Build &lt;strong&gt;evaluation and confidence frameworks&lt;/strong&gt; to determine when to automate vs escalate&lt;/li&gt;&lt;li&gt;Work directly with &lt;strong&gt;customers&lt;/strong&gt; to prototype and ship systems into production&lt;/li&gt;&lt;/ul&gt;&lt;p&gt;&lt;br&gt;&lt;/p&gt;&lt;p&gt;&lt;strong&gt;Requirements&lt;/strong&gt;&lt;/p&gt;&lt;ul&gt;&lt;li&gt;Strong engineering background with &lt;strong&gt;Python&lt;/strong&gt;&lt;/li&gt;&lt;li&gt;Experience building &lt;strong&gt;production LLM systems&lt;/strong&gt;&lt;/li&gt;&lt;li&gt;Experience with &lt;strong&gt;agentic frameworks, RAG, or orchestration tools&lt;/strong&gt; (LangChain, LangGraph, etc.)&lt;/li&gt;&lt;li&gt;Experience building &lt;strong&gt;scalable AI systems or automation workflows&lt;/strong&gt;&lt;/li&gt;&lt;li&gt;Interest in &lt;strong&gt;learning systems, human-in-the-loop workflows, or evaluation frameworks&lt;/strong&gt;&lt;/li&gt;&lt;/ul&gt;&lt;p&gt;&lt;br&gt;&lt;/p&gt;&lt;p&gt;This is an opportunity to join a small, highly technical team building next-generation AI systems backed by leading investors, working on problems at the edge of what’s currently possible in applied AI.&lt;/p&gt;</x:v>
      </x:c>
      <x:c r="AB80" s="68" t="str">
        <x:v>
AI Engineer – Agentic AI / LLM Systems
New York | Series A Startup
$180–$250k + Equity
In office (5 days)
No visa sponsorship available
A fast-growing, venture-backed AI company is hiring AI Engineers to build systems where AI doesn’t just respond, but actually learns and executes real enterprise workflows.
The team is developing AI agents that can understand how businesses operate, generate structured instructions, and take action across complex systems, with built-in confidence scoring and human-in-the-loop decisioning.
The role
- Build and deploy agentic AI systems that automate complex, real-world workflows
- Design systems for LLM orchestration, tool usage, and multi-step execution
- Develop production-grade systems in Python
- Implement RAG pipelines, multi-agent systems, and learning workflows
- Build evaluation and confidence frameworks to determine when to automate vs escalate
- Work directly with customers to prototype and ship systems into production
Requirements
- Strong engineering background with Python
- Experience building production LLM systems
- Experience with agentic frameworks, RAG, or orchestration tools (LangChain, LangGraph, etc.)
- Experience building scalable AI systems or automation workflows
- Interest in learning systems, human-in-the-loop workflows, or evaluation frameworks
This is an opportunity to join a small, highly technical team building next-generation AI systems backed by leading investors, working on problems at the edge of what’s currently possible in applied AI.</x:v>
      </x:c>
      <x:c r="AC80" s="68" t="str">
        <x:v>Mid-Senior level</x:v>
      </x:c>
      <x:c r="AD80" s="68" t="str">
        <x:v>Full-time</x:v>
      </x:c>
      <x:c r="AE80" s="68" t="str">
        <x:v>Engineering</x:v>
      </x:c>
      <x:c r="AF80" s="68" t="str">
        <x:v>Software Development</x:v>
      </x:c>
      <x:c r="AG80" s="68" t="str">
        <x:v>https://www.linkedin.com/jobs/search/?position=1&amp;pageNum=0&amp;keywords=AI+Engineer&amp;location=United+States&amp;distance=0&amp;f_TPR=r604800</x:v>
      </x:c>
      <x:c r="AH80" s="68" t="str">
        <x:v>{'type': 'PostalAddress', 'streetAddress': '6th Floor, Cannon Green', 'addressLocality': 'London', 'postalCode': 'EC4R 0AA', 'addressCountry': 'GB'}</x:v>
      </x:c>
      <x:c r="AI80" s="68" t="str">
        <x:v>http://www.stottandmay.com</x:v>
      </x:c>
      <x:c r="AJ80" s="68"/>
      <x:c r="AK80" s="68"/>
      <x:c r="AL80" s="68"/>
      <x:c r="AM80" s="68"/>
      <x:c r="AN80" s="68"/>
      <x:c r="AO80" s="68"/>
      <x:c r="AP80" s="68"/>
    </x:row>
    <x:row r="81" s="25" customFormat="1" ht="22" customHeight="1">
      <x:c r="A81" s="68" t="str">
        <x:v>4450929015</x:v>
      </x:c>
      <x:c r="B81" s="68" t="str">
        <x:v>AI Engineer - Forward Deployed</x:v>
      </x:c>
      <x:c r="C81" s="68" t="str">
        <x:v>Moring AI</x:v>
      </x:c>
      <x:c r="D81" s="68" t="str">
        <x:v>Atlanta, GA</x:v>
      </x:c>
      <x:c r="E81" s="68" t="str">
        <x:v>Requires CAPTCHA</x:v>
      </x:c>
      <x:c r="F81" s="68"/>
      <x:c r="G81" s="69"/>
      <x:c r="H81" s="85" t="str">
        <x:v>2026-08-08</x:v>
      </x:c>
      <x:c r="I81" s="85"/>
      <x:c r="J81" s="68" t="str">
        <x:v>71</x:v>
      </x:c>
      <x:c r="K81" s="70"/>
      <x:c r="L81" s="86"/>
      <x:c r="M81" s="87"/>
      <x:c r="N81" s="71"/>
      <x:c r="O81" s="88"/>
      <x:c r="P81" s="89"/>
      <x:c r="Q81" s="89"/>
      <x:c r="R81" s="89"/>
      <x:c r="S81" s="73"/>
      <x:c r="T81" s="68"/>
      <x:c r="U81" s="68" t="str">
        <x:v>https://www.linkedin.com/jobs/view/ai-engineer-forward-deployed-at-moring-ai-4450929015?position=2&amp;pageNum=6&amp;refId=Ed5K7tZiMYMhtD9NVKS4Ew%3D%3D&amp;trackingId=uzrlBnugTk7OjeJG32r3sw%3D%3D</x:v>
      </x:c>
      <x:c r="V81" s="68" t="str">
        <x:v>uzrlBnugTk7OjeJG32r3sw==</x:v>
      </x:c>
      <x:c r="W81" s="68" t="str">
        <x:v>Ed5K7tZiMYMhtD9NVKS4Ew==</x:v>
      </x:c>
      <x:c r="X81" s="68" t="str">
        <x:v>https://www.linkedin.com/company/moringai?trk=public_jobs_jserp-result_job-search-card-subtitle</x:v>
      </x:c>
      <x:c r="Y81" s="68" t="str">
        <x:v>https://media.licdn.com/dms/image/v2/D4D0BAQFulrBAkRM_rQ/company-logo_100_100/B4DZ.h5qyNK8AM-/0/1785127677421/moringai_logo?e=2147483647&amp;v=beta&amp;t=eZwiVxnvjqcg9hAkatfC78cbnZuboa81VeCPvl76AGc</x:v>
      </x:c>
      <x:c r="Z81" s="68"/>
      <x:c r="AA81" s="68" t="str">
        <x:v>&lt;strong&gt;About Us&lt;br&gt;&lt;br&gt;&lt;/strong&gt;Moring.ai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fast.&lt;br&gt;&lt;br&gt;&lt;strong&gt;The Role&lt;br&gt;&lt;br&gt;&lt;/strong&gt;We're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them.&lt;br&gt;&lt;br&gt;We're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twice.&lt;br&gt;&lt;br&gt;You'll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building.&lt;br&gt;&lt;br&gt;This is also a forward-deployed role. We build with our enterprise customers, not just for them - so you'll spend real time embedded with client teams, making our AI work inside their systems and security constraints, then bringing what you learn back into the product.&lt;br&gt;&lt;br&gt;&lt;strong&gt;What You'll Do&lt;br&gt;&lt;br&gt;&lt;/strong&gt;&lt;strong&gt;Build AI capabilities.&lt;br&gt;&lt;br&gt;&lt;/strong&gt;&lt;ul&gt;&lt;li&gt;Build and ship agents, agentic workflows, and LLM-powered features -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(MCP).&lt;br&gt;&lt;br&gt;&lt;/li&gt;&lt;/ul&gt;&lt;strong&gt;Deploy with our enterprise customers.&lt;br&gt;&lt;br&gt;&lt;/strong&gt;&lt;ul&gt;&lt;li&gt;Embed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 their AWS accounts and private networks - with their security model in mind, not just ours.&lt;/li&gt;&lt;li&gt;Support demos and working sessions with client engineers and business stakeholders.&lt;/li&gt;&lt;li&gt;Turn field learnings - integration patterns, recurring requests, platform gaps - into product improvements.&lt;br&gt;&lt;br&gt;&lt;/li&gt;&lt;/ul&gt;&lt;strong&gt;Build the platform underneath.&lt;br&gt;&lt;br&gt;&lt;/strong&gt;&lt;ul&gt;&lt;li&gt;Contribute to our model-access layer, agent orchestration, and evaluation harness - the primitives every AI feature builds on.&lt;/li&gt;&lt;li&gt;Add tracing, cost and latency dashboards, and quality monitoring so AI changes ship with evidence, not vibes.&lt;br&gt;&lt;br&gt;&lt;/li&gt;&lt;/ul&gt;&lt;strong&gt;Own your work.&lt;br&gt;&lt;br&gt;&lt;/strong&gt;&lt;ul&gt;&lt;li&gt;Take ownership of features from design through deployment, and operate what you build.&lt;/li&gt;&lt;li&gt;Write the tests, evals, and observability that let you ship fast with confidence.&lt;br&gt;&lt;br&gt;&lt;/li&gt;&lt;/ul&gt;&lt;strong&gt;What We're Looking For&lt;br&gt;&lt;br&gt;&lt;/strong&gt;&lt;ul&gt;&lt;li&gt;3–6 years of software engineering experience shipping production systems -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 and how to measure whether it's actually working.&lt;/li&gt;&lt;li&gt;Willingness to work directly with enterprise customers and communicate trade-offs in plain language.&lt;br&gt;&lt;br&gt;&lt;/li&gt;&lt;/ul&gt;&lt;strong&gt;Nice to Have&lt;br&gt;&lt;br&gt;&lt;/strong&gt;&lt;ul&gt;&lt;li&gt;Experience integrating with enterprise systems -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customers.&lt;br&gt;&lt;br&gt;&lt;/li&gt;&lt;/ul&gt;&lt;strong&gt;How You Work&lt;br&gt;&lt;br&gt;&lt;/strong&gt;&lt;ul&gt;&lt;li&gt;You own outcomes, not tickets -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codebase.&lt;br&gt;&lt;br&gt;&lt;/li&gt;&lt;/ul&gt;&lt;strong&gt;Details&lt;br&gt;&lt;br&gt;&lt;/strong&gt;&lt;strong&gt;Location: &lt;/strong&gt;Atlanta, GA, USA (100% on-site).&lt;br&gt;&lt;br&gt;&lt;strong&gt;Type: &lt;/strong&gt;Full-time individual contributor.&lt;br&gt;&lt;br&gt;&lt;strong&gt;Travel: &lt;/strong&gt;Up to 25% to customer sites.&lt;br&gt;&lt;br&gt;&lt;strong&gt;Work authorization: &lt;/strong&gt;You must be authorized to work in the United States; visa sponsorship is not available for this role at this time.&lt;br&gt;&lt;br&gt;To apply, send your resume and a short note on an AI agent, application, or system you've built to hr@moring.ai.</x:v>
      </x:c>
      <x:c r="AB81" s="68" t="str">
        <x:v>About Us
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
The Role
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
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
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
This is also a forward-deployed role. We build with our enterprise customers, not just for them - so you'll spend real time embedded with client teams, making our AI work inside their systems and security constraints, then bringing what you learn back into the product.
What You'll Do
Build AI capabilities.
- Build and ship agents, agentic workflows, and LLM-powered features -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 their AWS accounts and private networks - with their security model in mind, not just ours.
- Support demos and working sessions with client engineers and business stakeholders.
- Turn field learnings - integration patterns, recurring requests, platform gaps - into product improvements.
Build the platform underneath.
- Contribute to our model-access layer, agent orchestration, and evaluation harness -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We're Looking For
- 3–6 years of software engineering experience shipping production systems -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 and how to measure whether it's actually working.
- Willingness to work directly with enterprise customers and communicate trade-offs in plain language.
Nice to Have
- Experience integrating with enterprise systems -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Atlanta, GA, USA (100% on-site).
Type: Full-time individual contributor.
Travel: Up to 25% to customer sites.
Work authorization: You must be authorized to work in the United States; visa sponsorship is not available for this role at this time.
To apply, send your resume and a short note on an AI agent, application, or system you've built to hr@moring.ai.</x:v>
      </x:c>
      <x:c r="AC81" s="68" t="str">
        <x:v>Not Applicable</x:v>
      </x:c>
      <x:c r="AD81" s="68" t="str">
        <x:v>Full-time</x:v>
      </x:c>
      <x:c r="AE81" s="68" t="str">
        <x:v>Engineering and Information Technology</x:v>
      </x:c>
      <x:c r="AF81" s="68" t="str">
        <x:v>Software Development</x:v>
      </x:c>
      <x:c r="AG81" s="68" t="str">
        <x:v>https://www.linkedin.com/jobs/search/?position=1&amp;pageNum=0&amp;keywords=AI+Engineer&amp;location=United+States&amp;distance=0&amp;f_TPR=r604800</x:v>
      </x:c>
      <x:c r="AH81" s="68" t="str">
        <x:v>{'type': 'PostalAddress', 'addressLocality': 'San Ramon', 'addressRegion': 'California', 'postalCode': '94583\n', 'addressCountry': 'US'}</x:v>
      </x:c>
      <x:c r="AI81" s="68" t="str">
        <x:v>https://moring.ai/</x:v>
      </x:c>
      <x:c r="AJ81" s="68" t="str">
        <x:v>The Control plane for Enterprise AI.</x:v>
      </x:c>
      <x:c r="AK81" s="68"/>
      <x:c r="AL81" s="68"/>
      <x:c r="AM81" s="68"/>
      <x:c r="AN81" s="68"/>
      <x:c r="AO81" s="68"/>
      <x:c r="AP81" s="68"/>
    </x:row>
    <x:row r="82" s="25" customFormat="1" ht="22" customHeight="1">
      <x:c r="A82" s="68" t="str">
        <x:v>4413279294</x:v>
      </x:c>
      <x:c r="B82" s="68" t="str">
        <x:v>Agentic AI and Data Engineer</x:v>
      </x:c>
      <x:c r="C82" s="68" t="str">
        <x:v>Booz Allen Hamilton</x:v>
      </x:c>
      <x:c r="D82" s="68" t="str">
        <x:v>Honolulu, HI</x:v>
      </x:c>
      <x:c r="E82" s="68" t="str">
        <x:v>Applied</x:v>
      </x:c>
      <x:c r="F82" s="68"/>
      <x:c r="G82" s="69"/>
      <x:c r="H82" s="85" t="str">
        <x:v>2026-08-06</x:v>
      </x:c>
      <x:c r="I82" s="85"/>
      <x:c r="J82" s="68" t="str">
        <x:v>104</x:v>
      </x:c>
      <x:c r="K82" s="70"/>
      <x:c r="L82" s="86"/>
      <x:c r="M82" s="87"/>
      <x:c r="N82" s="71"/>
      <x:c r="O82" s="88"/>
      <x:c r="P82" s="89"/>
      <x:c r="Q82" s="89"/>
      <x:c r="R82" s="89"/>
      <x:c r="S82" s="73"/>
      <x:c r="T82" s="68"/>
      <x:c r="U82" s="68" t="str">
        <x:v>https://www.linkedin.com/jobs/view/agentic-ai-and-data-engineer-at-booz-allen-hamilton-4413279294?position=1&amp;pageNum=0&amp;refId=s48tP56EQnHdC6rkSZpaEg%3D%3D&amp;trackingId=hZC3LeoKqso5KAOC12kvmw%3D%3D</x:v>
      </x:c>
      <x:c r="V82" s="68" t="str">
        <x:v>hZC3LeoKqso5KAOC12kvmw==</x:v>
      </x:c>
      <x:c r="W82" s="68" t="str">
        <x:v>s48tP56EQnHdC6rkSZpaEg==</x:v>
      </x:c>
      <x:c r="X82" s="68" t="str">
        <x:v>https://www.linkedin.com/company/booz-allen-hamilton?trk=public_jobs_jserp-result_job-search-card-subtitle</x:v>
      </x:c>
      <x:c r="Y82" s="68" t="str">
        <x:v>https://media.licdn.com/dms/image/v2/D4E0BAQFXBzVcVDSTOQ/company-logo_100_100/company-logo_100_100/0/1737465459820/booz_allen_hamilton_logo?e=2147483647&amp;v=beta&amp;t=SswDqk5ZXqP0jtQgXL12ktHuwfRb0zf8se42kJe-lFM</x:v>
      </x:c>
      <x:c r="Z82" s="68"/>
      <x:c r="AA82" s="68" t="str">
        <x:v>&lt;strong&gt;Job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v>
      </x:c>
      <x:c r="AB82" s="68" t="str">
        <x:v>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v>
      </x:c>
      <x:c r="AC82" s="68" t="str">
        <x:v>Not Applicable</x:v>
      </x:c>
      <x:c r="AD82" s="68" t="str">
        <x:v>Full-time</x:v>
      </x:c>
      <x:c r="AE82" s="68" t="str">
        <x:v>Information Technology</x:v>
      </x:c>
      <x:c r="AF82" s="68" t="str">
        <x:v>Software Development</x:v>
      </x:c>
      <x:c r="AG82" s="68" t="str">
        <x:v>https://www.linkedin.com/jobs/search/?position=1&amp;pageNum=0&amp;keywords=AI+Engineer&amp;location=United+States&amp;distance=0&amp;f_TPR=r604800</x:v>
      </x:c>
      <x:c r="AH82" s="68" t="str">
        <x:v>{'type': 'PostalAddress', 'streetAddress': '8283 Greensboro Drive', 'addressLocality': 'McLean', 'addressRegion': 'VA', 'postalCode': '22102', 'addressCountry': 'US'}</x:v>
      </x:c>
      <x:c r="AI82" s="68" t="str">
        <x:v>https://boozallen.co/3PbO3a2</x:v>
      </x:c>
      <x:c r="AJ82" s="68"/>
      <x:c r="AK82" s="68"/>
      <x:c r="AL82" s="68"/>
      <x:c r="AM82" s="68"/>
      <x:c r="AN82" s="68"/>
      <x:c r="AO82" s="68"/>
      <x:c r="AP82" s="68"/>
    </x:row>
    <x:row r="83" s="25" customFormat="1" ht="22" customHeight="1">
      <x:c r="A83" s="68" t="str">
        <x:v>4448951105</x:v>
      </x:c>
      <x:c r="B83" s="68" t="str">
        <x:v>AI Engineer</x:v>
      </x:c>
      <x:c r="C83" s="68" t="str">
        <x:v>HP</x:v>
      </x:c>
      <x:c r="D83" s="68" t="str">
        <x:v>Vancouver, WA</x:v>
      </x:c>
      <x:c r="E83" s="68" t="str">
        <x:v>Applied</x:v>
      </x:c>
      <x:c r="F83" s="68"/>
      <x:c r="G83" s="69"/>
      <x:c r="H83" s="85" t="str">
        <x:v>2026-08-05</x:v>
      </x:c>
      <x:c r="I83" s="85"/>
      <x:c r="J83" s="68" t="str">
        <x:v>200</x:v>
      </x:c>
      <x:c r="K83" s="70"/>
      <x:c r="L83" s="86"/>
      <x:c r="M83" s="87"/>
      <x:c r="N83" s="71"/>
      <x:c r="O83" s="88"/>
      <x:c r="P83" s="89"/>
      <x:c r="Q83" s="89"/>
      <x:c r="R83" s="89"/>
      <x:c r="S83" s="73"/>
      <x:c r="T83" s="68"/>
      <x:c r="U83" s="68" t="str">
        <x:v>https://www.linkedin.com/jobs/view/ai-engineer-at-hp-4448951105?position=2&amp;pageNum=0&amp;refId=s48tP56EQnHdC6rkSZpaEg%3D%3D&amp;trackingId=VngGIZEBWAJ0fzGFk97W%2FQ%3D%3D</x:v>
      </x:c>
      <x:c r="V83" s="68" t="str">
        <x:v>VngGIZEBWAJ0fzGFk97W/Q==</x:v>
      </x:c>
      <x:c r="W83" s="68" t="str">
        <x:v>s48tP56EQnHdC6rkSZpaEg==</x:v>
      </x:c>
      <x:c r="X83" s="68" t="str">
        <x:v>https://www.linkedin.com/company/hp?trk=public_jobs_jserp-result_job-search-card-subtitle</x:v>
      </x:c>
      <x:c r="Y83" s="68" t="str">
        <x:v>https://media.licdn.com/dms/image/v2/D560BAQEJUaQAv2kVcQ/company-logo_100_100/B56ZViAo6QHoAQ-/0/1741106089999/hp_logo?e=2147483647&amp;v=beta&amp;t=CkdW_qlJsnivIFSCyd5feJoXKhIdCpFl9I1hK55yfQU</x:v>
      </x:c>
      <x:c r="Z83" s="68"/>
      <x:c r="AA83" s="68" t="str">
        <x:v>&lt;strong&gt;Description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x:v>
      </x:c>
      <x:c r="AB83" s="68" t="str">
        <x:v>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x:v>
      </x:c>
      <x:c r="AC83" s="68" t="str">
        <x:v>Mid-Senior level</x:v>
      </x:c>
      <x:c r="AD83" s="68" t="str">
        <x:v>Full-time</x:v>
      </x:c>
      <x:c r="AE83" s="68" t="str">
        <x:v>Information Technology</x:v>
      </x:c>
      <x:c r="AF83" s="68" t="str">
        <x:v>IT Services and IT Consulting</x:v>
      </x:c>
      <x:c r="AG83" s="68" t="str">
        <x:v>https://www.linkedin.com/jobs/search/?position=1&amp;pageNum=0&amp;keywords=AI+Engineer&amp;location=United+States&amp;distance=0&amp;f_TPR=r604800</x:v>
      </x:c>
      <x:c r="AH83" s="68" t="str">
        <x:v>{'type': 'PostalAddress', 'streetAddress': '1501 Page Mill Road', 'addressLocality': 'Palo Alto', 'addressRegion': 'CA', 'postalCode': '94304', 'addressCountry': 'US'}</x:v>
      </x:c>
      <x:c r="AI83" s="68" t="str">
        <x:v>http://www.hp.com</x:v>
      </x:c>
      <x:c r="AJ83" s="68"/>
      <x:c r="AK83" s="68"/>
      <x:c r="AL83" s="68"/>
      <x:c r="AM83" s="68"/>
      <x:c r="AN83" s="68"/>
      <x:c r="AO83" s="68"/>
      <x:c r="AP83" s="68"/>
    </x:row>
    <x:row r="84" s="25" customFormat="1" ht="22" customHeight="1">
      <x:c r="A84" s="68" t="str">
        <x:v>4366051636</x:v>
      </x:c>
      <x:c r="B84" s="68" t="str">
        <x:v>AI &amp; Automation Engineer</x:v>
      </x:c>
      <x:c r="C84" s="68" t="str">
        <x:v>D.A. Davidson Companies</x:v>
      </x:c>
      <x:c r="D84" s="68" t="str">
        <x:v>Seattle, WA</x:v>
      </x:c>
      <x:c r="E84" s="68" t="str">
        <x:v>Applied</x:v>
      </x:c>
      <x:c r="F84" s="68"/>
      <x:c r="G84" s="69"/>
      <x:c r="H84" s="85" t="str">
        <x:v>2026-08-08</x:v>
      </x:c>
      <x:c r="I84" s="85"/>
      <x:c r="J84" s="68" t="str">
        <x:v>25</x:v>
      </x:c>
      <x:c r="K84" s="70" t="str">
        <x:v>$90,000.00/yr - $120,000.00/yr</x:v>
      </x:c>
      <x:c r="L84" s="86"/>
      <x:c r="M84" s="87"/>
      <x:c r="N84" s="71"/>
      <x:c r="O84" s="88"/>
      <x:c r="P84" s="89"/>
      <x:c r="Q84" s="89"/>
      <x:c r="R84" s="89"/>
      <x:c r="S84" s="73"/>
      <x:c r="T84" s="68"/>
      <x:c r="U84" s="68" t="str">
        <x:v>https://www.linkedin.com/jobs/view/ai-automation-engineer-at-d-a-davidson-companies-4366051636?position=8&amp;pageNum=6&amp;refId=Ed5K7tZiMYMhtD9NVKS4Ew%3D%3D&amp;trackingId=%2FduG35FFsBII%2FkkYogofCA%3D%3D</x:v>
      </x:c>
      <x:c r="V84" s="68" t="str">
        <x:v>/duG35FFsBII/kkYogofCA==</x:v>
      </x:c>
      <x:c r="W84" s="68" t="str">
        <x:v>Ed5K7tZiMYMhtD9NVKS4Ew==</x:v>
      </x:c>
      <x:c r="X84" s="68" t="str">
        <x:v>https://www.linkedin.com/company/d-a--davidson-&amp;-co-?trk=public_jobs_jserp-result_job-search-card-subtitle</x:v>
      </x:c>
      <x:c r="Y84" s="68" t="str">
        <x:v>https://media.licdn.com/dms/image/v2/D560BAQEW4iHZgTEO6A/company-logo_100_100/B56ZWMdIMbGsAQ-/0/1741818201141/d_a__davidson__co__logo?e=2147483647&amp;v=beta&amp;t=k-Nl4RtWQ_xMIv6z4WE2BZ4AzgDxbUQ0dDL2goHmNI4</x:v>
      </x:c>
      <x:c r="Z84" s="68"/>
      <x:c r="AA84" s="68" t="str">
        <x:v>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v>
      </x:c>
      <x:c r="AB84" s="68" t="str">
        <x:v>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v>
      </x:c>
      <x:c r="AC84" s="68" t="str">
        <x:v>Not Applicable</x:v>
      </x:c>
      <x:c r="AD84" s="68" t="str">
        <x:v>Full-time</x:v>
      </x:c>
      <x:c r="AE84" s="68" t="str">
        <x:v>Engineering and Information Technology</x:v>
      </x:c>
      <x:c r="AF84" s="68" t="str">
        <x:v>Software Development</x:v>
      </x:c>
      <x:c r="AG84" s="68" t="str">
        <x:v>https://www.linkedin.com/jobs/search/?position=1&amp;pageNum=0&amp;keywords=AI+Engineer&amp;location=United+States&amp;distance=0&amp;f_TPR=r604800</x:v>
      </x:c>
      <x:c r="AH84" s="68" t="str">
        <x:v>{'type': 'PostalAddress', 'streetAddress': '8 3rd St N', 'addressLocality': 'Great Falls', 'addressRegion': 'Montana', 'postalCode': '59401', 'addressCountry': 'US'}</x:v>
      </x:c>
      <x:c r="AI84" s="68" t="str">
        <x:v>http://dadavidson.com</x:v>
      </x:c>
      <x:c r="AJ84" s="68"/>
      <x:c r="AK84" s="68"/>
      <x:c r="AL84" s="68"/>
      <x:c r="AM84" s="68"/>
      <x:c r="AN84" s="68"/>
      <x:c r="AO84" s="68"/>
      <x:c r="AP84" s="68"/>
    </x:row>
    <x:row r="85" s="25" customFormat="1" ht="22" customHeight="1">
      <x:c r="A85" s="68" t="str">
        <x:v>4451093726</x:v>
      </x:c>
      <x:c r="B85" s="68" t="str">
        <x:v>Artificial Intelligence / Machine Learning Engineer</x:v>
      </x:c>
      <x:c r="C85" s="68" t="str">
        <x:v>DESE Research, Inc.</x:v>
      </x:c>
      <x:c r="D85" s="68" t="str">
        <x:v>Huntsville, AL</x:v>
      </x:c>
      <x:c r="E85" s="68" t="str">
        <x:v>Applied</x:v>
      </x:c>
      <x:c r="F85" s="68"/>
      <x:c r="G85" s="69"/>
      <x:c r="H85" s="85" t="str">
        <x:v>2026-08-08</x:v>
      </x:c>
      <x:c r="I85" s="85"/>
      <x:c r="J85" s="68" t="str">
        <x:v>56</x:v>
      </x:c>
      <x:c r="K85" s="70"/>
      <x:c r="L85" s="86"/>
      <x:c r="M85" s="87"/>
      <x:c r="N85" s="71"/>
      <x:c r="O85" s="88"/>
      <x:c r="P85" s="89"/>
      <x:c r="Q85" s="89"/>
      <x:c r="R85" s="89"/>
      <x:c r="S85" s="73"/>
      <x:c r="T85" s="68"/>
      <x:c r="U85" s="68" t="str">
        <x:v>https://www.linkedin.com/jobs/view/artificial-intelligence-machine-learning-engineer-at-dese-research-inc-4451093726?position=9&amp;pageNum=6&amp;refId=Ed5K7tZiMYMhtD9NVKS4Ew%3D%3D&amp;trackingId=HQvhFj%2B5Cx2GQCIoBgZNUg%3D%3D</x:v>
      </x:c>
      <x:c r="V85" s="68" t="str">
        <x:v>HQvhFj+5Cx2GQCIoBgZNUg==</x:v>
      </x:c>
      <x:c r="W85" s="68" t="str">
        <x:v>Ed5K7tZiMYMhtD9NVKS4Ew==</x:v>
      </x:c>
      <x:c r="X85" s="68" t="str">
        <x:v>https://www.linkedin.com/company/dese-research-inc.?trk=public_jobs_jserp-result_job-search-card-subtitle</x:v>
      </x:c>
      <x:c r="Y85" s="68" t="str">
        <x:v>https://media.licdn.com/dms/image/v2/C4E0BAQHdgW538D8vdA/company-logo_100_100/company-logo_100_100/0/1632255075992?e=2147483647&amp;v=beta&amp;t=qmzer-5lLZ9ciDy8b_Y_VC2kyqAAO00nMZenOOvNJg4</x:v>
      </x:c>
      <x:c r="Z85" s="68"/>
      <x:c r="AA85" s="68" t="str">
        <x:v>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platforms.&lt;br&gt;&lt;br&gt;&lt;em&gt;This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stakeholders.&lt;br&gt;&lt;br&gt;&lt;/em&gt;&lt;strong&gt;Core Responsibilities&lt;br&gt;&lt;br&gt;&lt;/strong&gt;&lt;ul&gt;&lt;li&gt;Design, develop, and maintain machine learning models, from classical algorithms (regression, tree ensembles, clustering) to modern deep learning architectures.&lt;/li&gt;&lt;li&gt;Build LLM-enabled applications and retrieval-augmented generation (RAG) pipelines, including vector embedding generation, vector database integration, and prompt/context engineering.&lt;/li&gt;&lt;li&gt;Develop AI assurance and evaluation tooling: robustness testing, bias/fairness analysis, model traceability, red-team/adversarial testing, and audit artifact generation.&lt;/li&gt;&lt;li&gt;Optimize and deploy models for production and edge environments (quantization, compression, containerized inference, ONNX/TensorRT).&lt;/li&gt;&lt;li&gt;Implement secure model and data pipelines, defend against adversarial ML threats, and ensure supply-chain integrity (SBOM) for AI components.&lt;/li&gt;&lt;li&gt;Conduct data processing/analysis to improve model accuracy; document and present development processes and assurance evidence to stakeholders.&lt;/li&gt;&lt;li&gt;Contribute to Agile, team-based planning and estimating in a fast-paced, collaborative environment.&lt;br&gt;&lt;br&gt;&lt;/li&gt;&lt;/ul&gt;&lt;strong&gt;Minimum Requirements&lt;br&gt;&lt;br&gt;&lt;/strong&gt;&lt;ul&gt;&lt;li&gt;Bachelor's degree or equivalent experience in CS/CPE/EE/Data Science (or related field).&lt;/li&gt;&lt;li&gt;Proven experience in one or more: ML/LLM development, assurance/evaluation tooling, or deploying edge computing solutions.&lt;/li&gt;&lt;li&gt;Hands-on experience with ML frameworks such as TensorFlow, PyTorch, or Scikit-learn.&lt;/li&gt;&lt;li&gt;Proficiency in Python and at least one additional language (Java, C++).&lt;/li&gt;&lt;li&gt;Strong understanding of data structures, data modeling, and software architecture.&lt;br&gt;&lt;br&gt;&lt;/li&gt;&lt;/ul&gt;&lt;strong&gt;Highlighted Skills &amp;amp; Experience&lt;br&gt;&lt;br&gt;&lt;/strong&gt;&lt;ul&gt;&lt;li&gt;Modern AI: LLM frameworks and application development; vector embeddings and vector databases; RAG architectures; prompt/context engineering; LLM fine-tuning; model evaluation and benchmarking.&lt;/li&gt;&lt;li&gt;Classic ML: Feature engineering, model selection/tuning, statistical analysis, and predictive modeling across structured and unstructured data.&lt;/li&gt;&lt;li&gt;AI Assurance: Responsible AI practices (robustness, bias/fairness, traceability); adversarial ML defenses; red-team testing; auditability and compliance documentation.&lt;/li&gt;&lt;li&gt;Edge &amp;amp; Deployment: ONNX/TensorRT, quantization/compression, ARM/NVIDIA Jetson/DSP targets, containerized inference, MLOps in controlled/classified environments.&lt;/li&gt;&lt;li&gt;Platform &amp;amp; DevSecOps: REST APIs, CI/CD for software and ML systems, SAST/DAST, Infrastructure-as-Code, cloud platforms (AWS, Azure, GCP).&lt;/li&gt;&lt;li&gt;Domain: Familiarity with computer networking, secure system integration for mission platforms, and test/V&amp;amp;V support (Python/MATLAB analysis).&lt;/li&gt;&lt;li&gt;Contributions to open-source AI/ML projects; experience deploying AI models in production, classified, or embedded environments.&lt;/li&gt;&lt;li&gt;Understanding of computer security principles and secure software development lifecycle (SSDLC) practices.&lt;br&gt;&lt;br&gt;&lt;/li&gt;&lt;/ul&gt;&lt;strong&gt;Why This Role Matters&lt;br&gt;&lt;br&gt;&lt;/strong&gt;You'll join a high-impact team solving some of the DoD's hardest problems in AI-enabled system security, building the next generation of trusted, auditable, and mission-ready AI for national defense.&lt;br&gt;&lt;br&gt;&lt;strong&gt;About DESE&lt;br&gt;&lt;br&gt;&lt;/strong&gt;For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problems.&lt;br&gt;&lt;br&gt;&lt;strong&gt;Why Employees Love Working For DESE&lt;br&gt;&lt;br&gt;&lt;/strong&gt;At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here:&lt;br&gt;&lt;br&gt;&lt;ul&gt;&lt;li&gt;Competitive health, dental and vision insurance with affordable premiums&lt;/li&gt;&lt;li&gt;Flexible work schedules&lt;/li&gt;&lt;li&gt;Two different flexible spending account options&lt;/li&gt;&lt;li&gt;Company paid life insurance with options for employee paid additional&lt;/li&gt;&lt;li&gt;Performance bonus program&lt;/li&gt;&lt;li&gt;Education reimbursement program&lt;/li&gt;&lt;li&gt;Company paid personal leave for approved philanthropic activities&lt;/li&gt;&lt;li&gt;Vacation, Sick &amp;amp; Holiday leave&lt;/li&gt;&lt;li&gt;Robust 401k profit sharing plan&lt;/li&gt;&lt;li&gt;Opportunities for internal promotions&lt;/li&gt;&lt;li&gt;Employee referral incentive program&lt;/li&gt;&lt;li&gt;Rewards and gifts for service anniversaries&lt;br&gt;&lt;br&gt;&lt;/li&gt;&lt;/ul&gt;Disability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256-837-8004x123.&lt;br&gt;&lt;br&gt;&lt;strong&gt;&lt;em&gt;Job Posted by ApplicantPro&lt;/em&gt;&lt;/strong&gt;</x:v>
      </x:c>
      <x:c r="AB85" s="68" t="str">
        <x:v>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
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
Core Responsibilities
- Design, develop, and maintain machine learning models, from classical algorithms (regression, tree ensembles, clustering) to modern deep learning architectures.
- Build LLM-enabled applications and retrieval-augmented generation (RAG) pipelines, including vector embedding generation, vector database integration, and prompt/context engineering.
- Develop AI assurance and evaluation tooling: robustness testing, bias/fairness analysis, model traceability, red-team/adversarial testing, and audit artifact generation.
- Optimize and deploy models for production and edge environments (quantization, compression, containerized inference, ONNX/TensorRT).
- Implement secure model and data pipelines, defend against adversarial ML threats, and ensure supply-chain integrity (SBOM) for AI components.
- Conduct data processing/analysis to improve model accuracy; document and present development processes and assurance evidence to stakeholders.
- Contribute to Agile, team-based planning and estimating in a fast-paced, collaborative environment.
Minimum Requirements
- Bachelor's degree or equivalent experience in CS/CPE/EE/Data Science (or related field).
- Proven experience in one or more: ML/LLM development, assurance/evaluation tooling, or deploying edge computing solutions.
- Hands-on experience with ML frameworks such as TensorFlow, PyTorch, or Scikit-learn.
- Proficiency in Python and at least one additional language (Java, C++).
- Strong understanding of data structures, data modeling, and software architecture.
Highlighted Skills &amp;amp; Experience
- Modern AI: LLM frameworks and application development; vector embeddings and vector databases; RAG architectures; prompt/context engineering; LLM fine-tuning; model evaluation and benchmarking.
- Classic ML: Feature engineering, model selection/tuning, statistical analysis, and predictive modeling across structured and unstructured data.
- AI Assurance: Responsible AI practices (robustness, bias/fairness, traceability); adversarial ML defenses; red-team testing; auditability and compliance documentation.
- Edge &amp;amp; Deployment: ONNX/TensorRT, quantization/compression, ARM/NVIDIA Jetson/DSP targets, containerized inference, MLOps in controlled/classified environments.
- Platform &amp;amp; DevSecOps: REST APIs, CI/CD for software and ML systems, SAST/DAST, Infrastructure-as-Code, cloud platforms (AWS, Azure, GCP).
- Domain: Familiarity with computer networking, secure system integration for mission platforms, and test/V&amp;amp;V support (Python/MATLAB analysis).
- Contributions to open-source AI/ML projects; experience deploying AI models in production, classified, or embedded environments.
- Understanding of computer security principles and secure software development lifecycle (SSDLC) practices.
Why This Role Matters
You'll join a high-impact team solving some of the DoD's hardest problems in AI-enabled system security, building the next generation of trusted, auditable, and mission-ready AI for national defense.
About DESE
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
Why Employees Love Working For DESE
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
- Competitive health, dental and vision insurance with affordable premiums
- Flexible work schedules
- Two different flexible spending account options
- Company paid life insurance with options for employee paid additional
- Performance bonus program
- Education reimbursement program
- Company paid personal leave for approved philanthropic activities
- Vacation, Sick &amp;amp; Holiday leave
- Robust 401k profit sharing plan
- Opportunities for internal promotions
- Employee referral incentive program
- Rewards and gifts for service anniversaries
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
Job Posted by ApplicantPro</x:v>
      </x:c>
      <x:c r="AC85" s="68" t="str">
        <x:v>Not Applicable</x:v>
      </x:c>
      <x:c r="AD85" s="68" t="str">
        <x:v>Full-time</x:v>
      </x:c>
      <x:c r="AE85" s="68" t="str">
        <x:v>Engineering and Information Technology</x:v>
      </x:c>
      <x:c r="AF85" s="68" t="str">
        <x:v>Defense &amp; Space</x:v>
      </x:c>
      <x:c r="AG85" s="68" t="str">
        <x:v>https://www.linkedin.com/jobs/search/?position=1&amp;pageNum=0&amp;keywords=AI+Engineer&amp;location=United+States&amp;distance=0&amp;f_TPR=r604800</x:v>
      </x:c>
      <x:c r="AH85" s="68" t="str">
        <x:v>{'type': 'PostalAddress', 'streetAddress': '315 Wynn Drive, Suite 2', 'addressLocality': 'Huntsville', 'addressRegion': 'AL', 'postalCode': '35808', 'addressCountry': 'US'}</x:v>
      </x:c>
      <x:c r="AI85" s="68" t="str">
        <x:v>http://www.dese.com</x:v>
      </x:c>
      <x:c r="AJ85" s="68" t="str">
        <x:v>Technical Excellence and Innovation</x:v>
      </x:c>
      <x:c r="AK85" s="68"/>
      <x:c r="AL85" s="68"/>
      <x:c r="AM85" s="68"/>
      <x:c r="AN85" s="68"/>
      <x:c r="AO85" s="68"/>
      <x:c r="AP85" s="68"/>
    </x:row>
    <x:row r="86" s="25" customFormat="1" ht="22" customHeight="1">
      <x:c r="A86" s="68" t="str">
        <x:v>4415087806</x:v>
      </x:c>
      <x:c r="B86" s="68" t="str">
        <x:v>AI Engineer</x:v>
      </x:c>
      <x:c r="C86" s="68" t="str">
        <x:v>Trace3</x:v>
      </x:c>
      <x:c r="D86" s="68" t="str">
        <x:v>Dallas, TX</x:v>
      </x:c>
      <x:c r="E86" s="68" t="str">
        <x:v>Applied</x:v>
      </x:c>
      <x:c r="F86" s="68"/>
      <x:c r="G86" s="69"/>
      <x:c r="H86" s="85" t="str">
        <x:v>2026-08-09</x:v>
      </x:c>
      <x:c r="I86" s="85"/>
      <x:c r="J86" s="68" t="str">
        <x:v>200</x:v>
      </x:c>
      <x:c r="K86" s="70"/>
      <x:c r="L86" s="86"/>
      <x:c r="M86" s="87"/>
      <x:c r="N86" s="71"/>
      <x:c r="O86" s="88"/>
      <x:c r="P86" s="89"/>
      <x:c r="Q86" s="89"/>
      <x:c r="R86" s="89"/>
      <x:c r="S86" s="73"/>
      <x:c r="T86" s="68"/>
      <x:c r="U86" s="68" t="str">
        <x:v>https://www.linkedin.com/jobs/view/ai-engineer-at-trace3-4415087806?position=3&amp;pageNum=6&amp;refId=Ed5K7tZiMYMhtD9NVKS4Ew%3D%3D&amp;trackingId=Yag2VrWouOiwZQvE0i7znA%3D%3D</x:v>
      </x:c>
      <x:c r="V86" s="68" t="str">
        <x:v>Yag2VrWouOiwZQvE0i7znA==</x:v>
      </x:c>
      <x:c r="W86" s="68" t="str">
        <x:v>Ed5K7tZiMYMhtD9NVKS4Ew==</x:v>
      </x:c>
      <x:c r="X86" s="68" t="str">
        <x:v>https://www.linkedin.com/company/trace3?trk=public_jobs_jserp-result_job-search-card-subtitle</x:v>
      </x:c>
      <x:c r="Y86" s="68" t="str">
        <x:v>https://media.licdn.com/dms/image/v2/C510BAQFslV0XP1vNtQ/company-logo_100_100/company-logo_100_100/0/1631334060758?e=2147483647&amp;v=beta&amp;t=agToohsAxszShbyVZ_FUYSfKI79JmOjYHw-L2SLBBkk</x:v>
      </x:c>
      <x:c r="Z86" s="68"/>
      <x:c r="AA86" s="68" t="str">
        <x:v>&lt;p&gt;Who is &lt;strong&gt;Trace3&lt;/strong&gt;?&lt;/p&gt;&lt;p&gt;Trace3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Innovate.&lt;/p&gt;&lt;p&gt;Our culture at Trace3 embodies the spirit of a startup with the advantage of a scalable business. Employees can grow their career and have fun while doing it!&lt;/p&gt;&lt;p&gt;Trace3 is headquartered in Irvine, California. We employ more than 1,200 people all over the United States. Our major field office locations include Denver, Indianapolis, Grand Rapids, Lexington, Los Angeles, Louisville, Texas, San Francisco.  &lt;/p&gt;&lt;p&gt;&lt;strong&gt;Ready to discover the possibilities that live in technology?&lt;/strong&gt;&lt;/p&gt;&lt;p&gt; &lt;/p&gt;&lt;p&gt;&lt;strong&gt;Come Join Us!&lt;/strong&gt;&lt;/p&gt;&lt;p&gt;&lt;strong&gt;Street-Smart&lt;/strong&gt; &lt;strong&gt;- &lt;em&gt;Thriving in Dynamic Times&lt;/em&gt;&lt;/strong&gt;&lt;/p&gt;&lt;p&gt;We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problems.&lt;/p&gt;&lt;p&gt;&lt;strong&gt;Juice - &lt;em&gt;The “Stuff” it takes to be a Needle Mover &lt;/em&gt;&lt;/strong&gt;&lt;/p&gt;&lt;p&gt;We get things done and drive results. We lead without a title, empowering others through a can-do attitude. We look forward to the goal, mentally mapping out every checkpoint on the pathway to success, and visualizing what the final destination looks and feels like.&lt;/p&gt;&lt;p&gt;&lt;strong&gt;Teamwork - &lt;em&gt;Humble, Hungry and Smart&lt;/em&gt;&lt;/strong&gt;&lt;/p&gt;&lt;p&gt;We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us.&lt;/p&gt;&lt;p&gt; &lt;/p&gt; &lt;p&gt;&lt;strong&gt;JOB SUMMARY:&lt;/strong&gt;&lt;/p&gt;&lt;p&gt;The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Azure).&lt;/p&gt;&lt;p&gt;&lt;strong&gt;SUMMARY OF ESSENTIAL JOB FUNCTIONS:&lt;/strong&gt;&lt;/p&gt;&lt;p&gt;&lt;strong&gt;AI Application &amp;amp; Agent Development&lt;/strong&gt;&lt;/p&gt;&lt;ul&gt;&lt;li&gt;Design and build AI-powered applications, including agents, copilots, and intelligent workflows. &lt;/li&gt;&lt;li&gt;Develop solutions using LLMs, RAG architectures, and orchestration frameworks. &lt;/li&gt;&lt;li&gt;Build reusable components and scalable AI patterns. &lt;/li&gt;&lt;li&gt;Design agent behavior that adapts to user‑defined preferences, rules, and governance constraints.&lt;/li&gt;&lt;/ul&gt;&lt;p&gt;&lt;strong&gt;Integration &amp;amp; Automation&lt;/strong&gt;&lt;/p&gt;&lt;ul&gt;&lt;li&gt;Integrate AI solutions with enterprise platforms (NetSuite, ServiceNow, Microsoft 365, etc.) &lt;/li&gt;&lt;li&gt;Develop APIs, connectors, and event-driven workflows. &lt;/li&gt;&lt;li&gt;Embed AI capabilities into business processes to drive automation and efficiency.&lt;/li&gt;&lt;/ul&gt;&lt;strong&gt;Governance, Security &amp;amp; Responsible AI&lt;/strong&gt;&lt;ul&gt;&lt;li&gt;Ensure AI agents and applications comply with Trace3 governance, security, and data protection standards.&lt;/li&gt;&lt;li&gt;Design systems that prevent sensitive or restricted data from being exposed or misused.&lt;/li&gt;&lt;li&gt;Partner with AI leadership to evaluate risks, controls, and guardrails for new AI capabilities before deployment.&lt;/li&gt;&lt;li&gt;Balance speed of delivery with safe, responsible AI practices in an enterprise environment.&lt;/li&gt;&lt;/ul&gt;&lt;p&gt;&lt;strong&gt;Prompting, Evaluation &amp;amp; Optimization&lt;/strong&gt;&lt;/p&gt;&lt;ul&gt;&lt;li&gt;Design and refine prompts for consistency, accuracy, and reliability. &lt;/li&gt;&lt;li&gt;Evaluate outputs and improve performance through iteration and testing. &lt;/li&gt;&lt;li&gt;Implement guardrails, observability, and responsible AI practices.&lt;/li&gt;&lt;/ul&gt;&lt;p&gt;&lt;strong&gt;Cloud Engineering &amp;amp; Deployment&lt;/strong&gt;&lt;/p&gt;&lt;ul&gt;&lt;li&gt;Build and deploy solutions in Azure (preferred) or other cloud environments. &lt;/li&gt;&lt;li&gt;Ensure scalability, performance, and cost optimization. &lt;/li&gt;&lt;li&gt;Monitor, troubleshoot, and maintain production AI systems.&lt;/li&gt;&lt;/ul&gt;&lt;p&gt;&lt;strong&gt;Collaboration &amp;amp; Innovation&lt;/strong&gt;&lt;/p&gt;&lt;ul&gt;&lt;li&gt;Partner with AI leadership on roadmap execution and prioritization. &lt;/li&gt;&lt;li&gt;Work with business stakeholders to translate requirements into solutions. &lt;/li&gt;&lt;li&gt;Contribute to AI standards, reusable frameworks, and best practices. &lt;/li&gt;&lt;/ul&gt;&lt;p&gt;&lt;strong&gt;REQUIRED SKILLS AND EXPERIENCE:&lt;/strong&gt;&lt;/p&gt;&lt;ul&gt;&lt;li&gt;Bachelor’s degree in Engineering, Computer Science, or related field (or equivalent experience) required.&lt;/li&gt;&lt;li&gt;Minimum 4 years of experience building AI-powered applications or systems.&lt;/li&gt;&lt;li&gt;Strong programming skills (Python preferred). &lt;/li&gt;&lt;li&gt;Experience with APIs, microservices, and system integrations. &lt;/li&gt;&lt;li&gt;Understanding of LLMs, prompt engineering, and RAG concepts. &lt;/li&gt;&lt;li&gt;Experience with cloud platforms (Azure preferred, AWS/GCP acceptable). &lt;/li&gt;&lt;li&gt;Experience with Azure OpenAI, Semantic Kernel, LangChain, or similar frameworks. &lt;/li&gt;&lt;li&gt;Experience building AI agents, copilots, or automation solutions. &lt;/li&gt;&lt;li&gt;Familiarity with vector databases, embeddings, and search architectures. &lt;/li&gt;&lt;li&gt;Experience integrating with enterprise SaaS platforms. &lt;/li&gt;&lt;li&gt;Understanding of security, governance, and responsible AI practices.&lt;/li&gt;&lt;li&gt;Strong problem-solving and analytical skills with attention to detail.&lt;/li&gt;&lt;li&gt;Ability to collaborate effectively within teams and communicate technical concepts clearly.&lt;/li&gt;&lt;li&gt;Ability to operate independently, with minimal supervision.&lt;/li&gt;&lt;li&gt;Comfortable managing multiple and changing priorities, and meeting deadlines in an entrepreneurial environment.&lt;/li&gt;&lt;li&gt;Self-motivated with a strong desire to learn and grow in technical expertise.&lt;/li&gt;&lt;/ul&gt; &lt;p&gt;Actual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salary.&lt;/p&gt;&lt;p&gt;Estimated Pay Range: $121,000 USD - $140,000 USD&lt;/p&gt; &lt;p&gt;&lt;strong&gt;The Perks&lt;/strong&gt;&lt;/p&gt;&lt;ul&gt;&lt;li&gt;Comprehensive medical, dental and vision plans for you and your dependents&lt;/li&gt;&lt;li&gt;401(k) Retirement Plan with Employer Match, 529 College Savings Plan, Health Savings Account, Life Insurance, and Long-Term Disability&lt;/li&gt;&lt;li&gt;Competitive Compensation&lt;/li&gt;&lt;li&gt;Training and development programs&lt;/li&gt;&lt;li&gt;Major offices stocked with snacks and beverages&lt;/li&gt;&lt;li&gt;Collaborative and cool culture&lt;/li&gt;&lt;li&gt;Work-life balance and generous paid time off&lt;/li&gt;&lt;/ul&gt;&lt;p&gt; &lt;/p&gt;&lt;p&gt;&lt;strong&gt;Our Commitment&lt;/strong&gt;&lt;/p&gt;&lt;p&gt;At the core of Trace3's DNA is our people. We are a diverse group of talented individuals who understand the importance of teamwork and demonstrating leadership, character, and passion in all that we do.&lt;/p&gt;&lt;p&gt;We’re committed to fostering an inclusive workplace where everyone feels respected, valued, and empowered to grow. We recognize that embracing diversity drives innovation, improves outcomes, fosters collaboration, boosts teammate satisfaction, and builds a more inclusive culture.&lt;/p&gt;&lt;p&gt;As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law.&lt;/p&gt;&lt;p&gt;Any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all.&lt;/p&gt;&lt;p&gt;If you require a reasonable accommodation to complete the application process or participate in an interview, please email &lt;u&gt;recruiting@trace3.com&lt;/u&gt;.&lt;/p&gt;&lt;p&gt; &lt;/p&gt;&lt;p&gt;&lt;strong&gt;***To all recruitment agencies:&lt;/strong&gt; Trace3 does not accept unsolicited agency resumes/CVs. Please do not forward resumes/CVs to our careers email addresses, Trace3 employees or any other company location. Trace3 is not responsible for any fees related to unsolicited resumes/CVs.&lt;/p&gt;</x:v>
      </x:c>
      <x:c r="AB86" s="68" t="str">
        <x:v>
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
SUMMARY OF ESSENTIAL JOB FUNCTIONS:
AI Application &amp;amp; Agent Development
- Design and build AI-powered applications, including agents, copilots, and intelligent workflows. 
- Develop solutions using LLMs, RAG architectures, and orchestration frameworks. 
- Build reusable components and scalable AI patterns. 
- Design agent behavior that adapts to user‑defined preferences, rules, and governance constraints.
Integration &amp;amp; Automation
- Integrate AI solutions with enterprise platforms (NetSuite, ServiceNow, Microsoft 365, etc.) 
- Develop APIs, connectors, and event-driven workflows. 
- Embed AI capabilities into business processes to drive automation and efficiency.Governance, Security &amp;amp; Responsible AI
- Ensure AI agents and applications comply with Trace3 governance, security, and data protection standards.
- Design systems that prevent sensitive or restricted data from being exposed or misused.
- Partner with AI leadership to evaluate risks, controls, and guardrails for new AI capabilities before deployment.
- Balance speed of delivery with safe, responsible AI practices in an enterprise environment.
Prompting, Evaluation &amp;amp; Optimization
- Design and refine prompts for consistency, accuracy, and reliability. 
- Evaluate outputs and improve performance through iteration and testing. 
- Implement guardrails, observability, and responsible AI practices.
Cloud Engineering &amp;amp; Deployment
- Build and deploy solutions in Azure (preferred) or other cloud environments. 
- Ensure scalability, performance, and cost optimization. 
- Monitor, troubleshoot, and maintain production AI systems.
Collaboration &amp;amp; Innovation
- Partner with AI leadership on roadmap execution and prioritization. 
- Work with business stakeholders to translate requirements into solutions. 
- Contribute to AI standards, reusable frameworks, and best practices. 
REQUIRED SKILLS AND EXPERIENCE:
- Bachelor’s degree in Engineering, Computer Science, or related field (or equivalent experience) required.
- Minimum 4 years of experience building AI-powered applications or systems.
- Strong programming skills (Python preferred). 
- Experience with APIs, microservices, and system integrations. 
- Understanding of LLMs, prompt engineering, and RAG concepts. 
- Experience with cloud platforms (Azure preferred, AWS/GCP acceptable). 
- Experience with Azure OpenAI, Semantic Kernel, LangChain, or similar frameworks. 
- Experience building AI agents, copilots, or automation solutions. 
- Familiarity with vector databases, embeddings, and search architectures. 
- Experience integrating with enterprise SaaS platforms. 
- Understanding of security, governance, and responsible AI practices.
- Strong problem-solving and analytical skills with attention to detail.
- Ability to collaborate effectively within teams and communicate technical concepts clearly.
- Ability to operate independently, with minimal supervision.
- Comfortable managing multiple and changing priorities, and meeting deadlines in an entrepreneurial environment.
- Self-motivated with a strong desire to learn and grow in technical expertise.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$121,000 USD - $140,000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x:v>
      </x:c>
      <x:c r="AC86" s="68" t="str">
        <x:v>Not Applicable</x:v>
      </x:c>
      <x:c r="AD86" s="68" t="str">
        <x:v>Full-time</x:v>
      </x:c>
      <x:c r="AE86" s="68" t="str">
        <x:v>Engineering and Information Technology</x:v>
      </x:c>
      <x:c r="AF86" s="68" t="str">
        <x:v>Information Technology &amp; Services</x:v>
      </x:c>
      <x:c r="AG86" s="68" t="str">
        <x:v>https://www.linkedin.com/jobs/search/?position=1&amp;pageNum=0&amp;keywords=AI+Engineer&amp;location=United+States&amp;distance=0&amp;f_TPR=r604800</x:v>
      </x:c>
      <x:c r="AH86" s="68" t="str">
        <x:v>{'type': 'PostalAddress', 'streetAddress': '7505 Irvine Center Dr', 'addressLocality': 'Irvine', 'addressRegion': 'California', 'postalCode': '92618', 'addressCountry': 'US'}</x:v>
      </x:c>
      <x:c r="AI86" s="68" t="str">
        <x:v>http://www.trace3.com</x:v>
      </x:c>
      <x:c r="AJ86" s="68" t="str">
        <x:v>We Believe All Possibilities Live in Technology</x:v>
      </x:c>
      <x:c r="AK86" s="68"/>
      <x:c r="AL86" s="68"/>
      <x:c r="AM86" s="68"/>
      <x:c r="AN86" s="68"/>
      <x:c r="AO86" s="68"/>
      <x:c r="AP86" s="68"/>
    </x:row>
    <x:row r="87" s="25" customFormat="1" ht="22" customHeight="1">
      <x:c r="A87" s="68" t="str">
        <x:v>4449674143</x:v>
      </x:c>
      <x:c r="B87" s="68" t="str">
        <x:v>Artificial Intelligence Engineer</x:v>
      </x:c>
      <x:c r="C87" s="68" t="str">
        <x:v>Point Predictive</x:v>
      </x:c>
      <x:c r="D87" s="68" t="str">
        <x:v>San Diego, CA</x:v>
      </x:c>
      <x:c r="E87" s="68" t="str">
        <x:v>Applied</x:v>
      </x:c>
      <x:c r="F87" s="68"/>
      <x:c r="G87" s="69"/>
      <x:c r="H87" s="85" t="str">
        <x:v>2026-08-05</x:v>
      </x:c>
      <x:c r="I87" s="85"/>
      <x:c r="J87" s="68" t="str">
        <x:v>172</x:v>
      </x:c>
      <x:c r="K87" s="70"/>
      <x:c r="L87" s="86"/>
      <x:c r="M87" s="87"/>
      <x:c r="N87" s="71"/>
      <x:c r="O87" s="88"/>
      <x:c r="P87" s="89"/>
      <x:c r="Q87" s="89"/>
      <x:c r="R87" s="89"/>
      <x:c r="S87" s="73"/>
      <x:c r="T87" s="68"/>
      <x:c r="U87" s="68" t="str">
        <x:v>https://www.linkedin.com/jobs/view/artificial-intelligence-engineer-at-point-predictive-4449674143?position=8&amp;pageNum=7&amp;refId=amLXhiv5GwroBfdUvvGxcA%3D%3D&amp;trackingId=c6iKQf%2BbFpHTiGnZlpP2Nw%3D%3D</x:v>
      </x:c>
      <x:c r="V87" s="68" t="str">
        <x:v>c6iKQf+bFpHTiGnZlpP2Nw==</x:v>
      </x:c>
      <x:c r="W87" s="68" t="str">
        <x:v>amLXhiv5GwroBfdUvvGxcA==</x:v>
      </x:c>
      <x:c r="X87" s="68" t="str">
        <x:v>https://www.linkedin.com/company/pointpredictive?trk=public_jobs_jserp-result_job-search-card-subtitle</x:v>
      </x:c>
      <x:c r="Y87" s="68" t="str">
        <x:v>https://media.licdn.com/dms/image/v2/D4E0BAQENLeDLhq4WLg/company-logo_100_100/company-logo_100_100/0/1692339110309/pointpredictive_logo?e=2147483647&amp;v=beta&amp;t=mZuZXjbmsOqRJFz8i6ZMuif0QYQ3FNR7qveJ1Rz84LY</x:v>
      </x:c>
      <x:c r="Z87" s="68"/>
      <x:c r="AA87" s="68" t="str">
        <x:v>&lt;p&gt;Overview&lt;/p&gt;&lt;p&gt;Point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industry.&lt;/p&gt;&lt;p&gt;&lt;br&gt;&lt;/p&gt;&lt;p&gt;In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environment.&lt;/p&gt;&lt;p&gt;&lt;br&gt;&lt;/p&gt;&lt;p&gt;&lt;br&gt;&lt;/p&gt;&lt;p&gt;Responsibilities&lt;/p&gt;&lt;ul&gt;&lt;li&gt;Design and build production AI applications using AWS Bedrock and Snowflake Cortex AI, including retrieval-augmented generation (RAG) pipelines, LLM-powered workflows, agents, and semantic search systems&lt;/li&gt;&lt;li&gt;Integrate foundation models (Claude, Titan, Llama, Mistral, and others available via Bedrock) into Point Predictive's products and internal tooling, selecting the right model for each task based on performance, cost, and compliance requirements&lt;/li&gt;&lt;li&gt;Build and maintain AI pipelines using Snowflake's native intelligence capabilities — Cortex LLM functions, Cortex Search, ML classification, and Document AI — to surface actionable signals from structured and unstructured data&lt;/li&gt;&lt;li&gt;Develop and maintain vector stores, embedding pipelines, and document ingestion workflows that power semantic retrieval and context assembly for LLM applications&lt;/li&gt;&lt;li&gt;Implement AI agent frameworks and multi-step reasoning workflows using AWS Bedrock Agents, Bedrock Knowledge Bases, and associated tool-use and orchestration patterns&lt;/li&gt;&lt;li&gt;Partner with Data Science to integrate model outputs, risk scores, and feature signals into LLM context windows, enabling AI systems that reason over Point Predictive's proprietary data&lt;/li&gt;&lt;li&gt;Instrument AI systems with observability, evaluation frameworks, and guardrails — tracking latency, accuracy, hallucination rates, and cost across models and pipelines&lt;/li&gt;&lt;li&gt;Manage prompt engineering, versioning, and systematic evaluation of prompt performance across use cases and model versions&lt;/li&gt;&lt;li&gt;Enforce security, compliance, and data governance controls across all AI systems — ensuring PII handling, model access, and output logging meet financial industry requirements&lt;/li&gt;&lt;li&gt;Contribute to AI platform infrastructure: IAM policies, VPC configurations, Bedrock service quotas, and Snowflake role-based access controls&lt;/li&gt;&lt;li&gt;Stay current on the rapidly evolving landscape of foundation models, AI tooling, and evaluation techniques, and bring relevant innovations to the team&lt;/li&gt;&lt;/ul&gt;&lt;p&gt;&lt;br&gt;&lt;/p&gt;&lt;p&gt;Qualifications&lt;/p&gt;&lt;ul&gt;&lt;li&gt;5+ years of software engineering experience, with at least 2 years focused on applied AI, LLM applications, or ML engineering in production&lt;/li&gt;&lt;li&gt;Hands-on experience building LLM-powered applications on AWS Bedrock — including Knowledge Bases, Agents, Guardrails, and model invocation via the Bedrock Runtime API&lt;/li&gt;&lt;li&gt;Hands-on experience with Snowflake Cortex AI — Cortex LLM functions (COMPLETE, CLASSIFY_TEXT, EXTRACT_ANSWER, SUMMARIZE), Cortex Search, and Document AI&lt;/li&gt;&lt;li&gt;Strong Python skills with proficiency in AI/ML libraries and cloud SDKs (Boto3, Snowflake Connector, LangChain or similar orchestration frameworks)&lt;/li&gt;&lt;li&gt;Experience designing and building RAG architectures, including chunking strategies, embedding model selection, vector store management, and retrieval optimization&lt;/li&gt;&lt;li&gt;Solid understanding of prompt engineering principles, few-shot learning, chain-of-thought reasoning, and structured output techniques&lt;/li&gt;&lt;li&gt;Experience with data pipelines and transformations in Snowflake — writing efficient SQL, building dbt models, and working with semi-structured data formats&lt;/li&gt;&lt;li&gt;Familiarity with AI evaluation methodology: building eval datasets, measuring retrieval quality, tracking model performance over time, and managing regression&lt;/li&gt;&lt;li&gt;Experience with AI safety and guardrail patterns — output filtering, PII redaction, content moderation, and input/output logging for compliance&lt;/li&gt;&lt;li&gt;Understanding of cloud security fundamentals — IAM, KMS encryption, VPC networking — in the context of AI service deployments&lt;/li&gt;&lt;li&gt;Strong communication skills and ability to explain AI system behavior, limitations, and tradeoffs to non-technical stakeholders&lt;/li&gt;&lt;li&gt;Experience in financial services, lending, insurance, or fraud detection is a strong plus&lt;/li&gt;&lt;li&gt;Familiarity with additional AWS AI services (Comprehend, Textract, SageMaker) and Snowflake ML features is a plus&lt;/li&gt;&lt;li&gt;Comfort leveraging AI-assisted development tools (e.g., Claude Code) to accelerate your own engineering productivity&lt;/li&gt;&lt;/ul&gt;&lt;p&gt;&lt;br&gt;&lt;/p&gt;&lt;p&gt;What Success Looks Like&lt;/p&gt;&lt;ul&gt;&lt;li&gt;Production AI applications that are reliable, observable, and trusted by internal teams and customers&lt;/li&gt;&lt;li&gt;LLM workflows that deliver measurable accuracy and business value — with clear evals to prove it&lt;/li&gt;&lt;li&gt;RAG pipelines that surface the right context at the right time, reducing hallucination and improving decision quality&lt;/li&gt;&lt;li&gt;AI systems that meet compliance, security, and data governance requirements without friction&lt;/li&gt;&lt;li&gt;Snowflake and Bedrock capabilities deeply integrated into Point Predictive's data and product stack&lt;/li&gt;&lt;li&gt;Clear documentation and reproducible prompt libraries that the team can build on&lt;/li&gt;&lt;li&gt;Models selected, deployed, and tuned with a clear-eyed view of cost, latency, and risk tradeoffs&lt;/li&gt;&lt;/ul&gt;&lt;p&gt;&lt;br&gt;&lt;/p&gt;&lt;p&gt;Why This Role&lt;/p&gt;&lt;ul&gt;&lt;li&gt;Build AI systems that directly power fraud detection and risk decisioning across major U.S. lenders&lt;/li&gt;&lt;li&gt;Work at the frontier of applied LLM engineering — Bedrock and Snowflake Cortex are production tools, not experiments&lt;/li&gt;&lt;li&gt;High-impact, high-visibility role during a critical phase of AI integration across the company&lt;/li&gt;&lt;li&gt;Collaborate with an experienced data science and engineering team with deep domain expertise in financial risk&lt;/li&gt;&lt;li&gt;Shape how Point Predictive builds AI — tooling, architecture, and evaluation standards are still being defined&lt;/li&gt;&lt;/ul&gt;&lt;p&gt;Education&lt;/p&gt;&lt;p&gt;Bachelor's or Master's in Computer Science, Data Science, or a related technical field (Preferred)&lt;/p&gt;&lt;p&gt;Pay: $130,000.00 - $145,000.00 per year&lt;/p&gt;&lt;p&gt;&lt;br&gt;&lt;/p&gt;&lt;p&gt;Benefits:&lt;/p&gt;&lt;ul&gt;&lt;li&gt;401(k)&lt;/li&gt;&lt;li&gt;Dental insurance&lt;/li&gt;&lt;li&gt;Flexible spending account&lt;/li&gt;&lt;li&gt;Health insurance&lt;/li&gt;&lt;li&gt;Health savings account&lt;/li&gt;&lt;li&gt;Life insurance&lt;/li&gt;&lt;li&gt;Paid time off&lt;/li&gt;&lt;li&gt;Vision insurance&lt;/li&gt;&lt;/ul&gt;&lt;p&gt;&lt;br&gt;&lt;/p&gt;&lt;p&gt;Application Question(s):&lt;/p&gt;&lt;ul&gt;&lt;li&gt;This is an in office position, will you commute to the office every day.&lt;/li&gt;&lt;li&gt;Our Core Values are 1) Be the Expert, 2) Get it Done and 3) Pitch in. Give specific details on how you have embodied these in the past and how you will continue to honor these in the future.&lt;/li&gt;&lt;/ul&gt;&lt;p&gt;&lt;br&gt;&lt;/p&gt;&lt;p&gt;Ability to Commute:&lt;/p&gt;&lt;ul&gt;&lt;li&gt;San Diego, CA 92101 (Required)&lt;/li&gt;&lt;/ul&gt;&lt;p&gt;&lt;br&gt;&lt;/p&gt;</x:v>
      </x:c>
      <x:c r="AB87" s="68" t="str">
        <x:v>
Overview
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
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
Responsibilities
- Design and build production AI applications using AWS Bedrock and Snowflake Cortex AI, including retrieval-augmented generation (RAG) pipelines, LLM-powered workflows, agents, and semantic search systems
- Integrate foundation models (Claude, Titan, Llama, Mistral, and others available via Bedrock) into Point Predictive's products and internal tooling, selecting the right model for each task based on performance, cost, and compliance requirements
- Build and maintain AI pipelines using Snowflake's native intelligence capabilities — Cortex LLM functions, Cortex Search, ML classification, and Document AI — to surface actionable signals from structured and unstructured data
- Develop and maintain vector stores, embedding pipelines, and document ingestion workflows that power semantic retrieval and context assembly for LLM applications
- Implement AI agent frameworks and multi-step reasoning workflows using AWS Bedrock Agents, Bedrock Knowledge Bases, and associated tool-use and orchestration patterns
- Partner with Data Science to integrate model outputs, risk scores, and feature signals into LLM context windows, enabling AI systems that reason over Point Predictive's proprietary data
- Instrument AI systems with observability, evaluation frameworks, and guardrails — tracking latency, accuracy, hallucination rates, and cost across models and pipelines
- Manage prompt engineering, versioning, and systematic evaluation of prompt performance across use cases and model versions
- Enforce security, compliance, and data governance controls across all AI systems — ensuring PII handling, model access, and output logging meet financial industry requirements
- Contribute to AI platform infrastructure: IAM policies, VPC configurations, Bedrock service quotas, and Snowflake role-based access controls
- Stay current on the rapidly evolving landscape of foundation models, AI tooling, and evaluation techniques, and bring relevant innovations to the team
Qualifications
- 5+ years of software engineering experience, with at least 2 years focused on applied AI, LLM applications, or ML engineering in production
- Hands-on experience building LLM-powered applications on AWS Bedrock — including Knowledge Bases, Agents, Guardrails, and model invocation via the Bedrock Runtime API
- Hands-on experience with Snowflake Cortex AI — Cortex LLM functions (COMPLETE, CLASSIFY_TEXT, EXTRACT_ANSWER, SUMMARIZE), Cortex Search, and Document AI
- Strong Python skills with proficiency in AI/ML libraries and cloud SDKs (Boto3, Snowflake Connector, LangChain or similar orchestration frameworks)
- Experience designing and building RAG architectures, including chunking strategies, embedding model selection, vector store management, and retrieval optimization
- Solid understanding of prompt engineering principles, few-shot learning, chain-of-thought reasoning, and structured output techniques
- Experience with data pipelines and transformations in Snowflake — writing efficient SQL, building dbt models, and working with semi-structured data formats
- Familiarity with AI evaluation methodology: building eval datasets, measuring retrieval quality, tracking model performance over time, and managing regression
- Experience with AI safety and guardrail patterns — output filtering, PII redaction, content moderation, and input/output logging for compliance
- Understanding of cloud security fundamentals — IAM, KMS encryption, VPC networking — in the context of AI service deployments
- Strong communication skills and ability to explain AI system behavior, limitations, and tradeoffs to non-technical stakeholders
- Experience in financial services, lending, insurance, or fraud detection is a strong plus
- Familiarity with additional AWS AI services (Comprehend, Textract, SageMaker) and Snowflake ML features is a plus
- Comfort leveraging AI-assisted development tools (e.g., Claude Code) to accelerate your own engineering productivity
What Success Looks Like
- Production AI applications that are reliable, observable, and trusted by internal teams and customers
- LLM workflows that deliver measurable accuracy and business value — with clear evals to prove it
- RAG pipelines that surface the right context at the right time, reducing hallucination and improving decision quality
- AI systems that meet compliance, security, and data governance requirements without friction
- Snowflake and Bedrock capabilities deeply integrated into Point Predictive's data and product stack
- Clear documentation and reproducible prompt libraries that the team can build on
- Models selected, deployed, and tuned with a clear-eyed view of cost, latency, and risk tradeoffs
Why This Role
- Build AI systems that directly power fraud detection and risk decisioning across major U.S. lenders
- Work at the frontier of applied LLM engineering — Bedrock and Snowflake Cortex are production tools, not experiments
- High-impact, high-visibility role during a critical phase of AI integration across the company
- Collaborate with an experienced data science and engineering team with deep domain expertise in financial risk
- Shape how Point Predictive builds AI — tooling, architecture, and evaluation standards are still being defined
Education
Bachelor's or Master's in Computer Science, Data Science, or a related technical field (Preferred)
Pay: $130,000.00 - $145,000.00 per year
Benefits:
- 401(k)
- Dental insurance
- Flexible spending account
- Health insurance
- Health savings account
- Life insurance
- Paid time off
- Vision insurance
Application Question(s):
- This is an in office position, will you commute to the office every day.
- Our Core Values are 1) Be the Expert, 2) Get it Done and 3) Pitch in. Give specific details on how you have embodied these in the past and how you will continue to honor these in the future.
Ability to Commute:
- San Diego, CA 92101 (Required)
</x:v>
      </x:c>
      <x:c r="AC87" s="68" t="str">
        <x:v>Mid-Senior level</x:v>
      </x:c>
      <x:c r="AD87" s="68" t="str">
        <x:v>Full-time</x:v>
      </x:c>
      <x:c r="AE87" s="68" t="str">
        <x:v>Engineering and Information Technology</x:v>
      </x:c>
      <x:c r="AF87" s="68" t="str">
        <x:v>Software Development</x:v>
      </x:c>
      <x:c r="AG87" s="68" t="str">
        <x:v>https://www.linkedin.com/jobs/search/?position=1&amp;pageNum=0&amp;keywords=AI+Engineer&amp;location=United+States&amp;distance=0&amp;f_TPR=r604800</x:v>
      </x:c>
      <x:c r="AH87" s="68" t="str">
        <x:v>{'type': 'PostalAddress', 'streetAddress': '350 10th Ave', 'addressLocality': 'San Diego', 'addressRegion': 'California', 'postalCode': '92101', 'addressCountry': 'US'}</x:v>
      </x:c>
      <x:c r="AI87" s="68" t="str">
        <x:v>http://www.pointpredictive.com</x:v>
      </x:c>
      <x:c r="AJ87" s="68" t="str">
        <x:v>Streamlining loan approvals for lenders with machine learning by precisely identifying truthful applications.</x:v>
      </x:c>
      <x:c r="AK87" s="68"/>
      <x:c r="AL87" s="68"/>
      <x:c r="AM87" s="68"/>
      <x:c r="AN87" s="68"/>
      <x:c r="AO87" s="68"/>
      <x:c r="AP87" s="68"/>
    </x:row>
    <x:row r="88" s="25" customFormat="1" ht="22" customHeight="1">
      <x:c r="A88" s="68" t="str">
        <x:v>4403244933</x:v>
      </x:c>
      <x:c r="B88" s="68" t="str">
        <x:v>Site AI Engineer - Las Vegas, NV</x:v>
      </x:c>
      <x:c r="C88" s="68" t="str">
        <x:v>Suffolk Construction</x:v>
      </x:c>
      <x:c r="D88" s="68" t="str">
        <x:v>Las Vegas, NV</x:v>
      </x:c>
      <x:c r="E88" s="68" t="str">
        <x:v>Applied</x:v>
      </x:c>
      <x:c r="F88" s="68"/>
      <x:c r="G88" s="69"/>
      <x:c r="H88" s="85" t="str">
        <x:v>2026-08-08</x:v>
      </x:c>
      <x:c r="I88" s="85"/>
      <x:c r="J88" s="68" t="str">
        <x:v>200</x:v>
      </x:c>
      <x:c r="K88" s="70"/>
      <x:c r="L88" s="86"/>
      <x:c r="M88" s="87"/>
      <x:c r="N88" s="71"/>
      <x:c r="O88" s="88"/>
      <x:c r="P88" s="89"/>
      <x:c r="Q88" s="89"/>
      <x:c r="R88" s="89"/>
      <x:c r="S88" s="73"/>
      <x:c r="T88" s="68"/>
      <x:c r="U88" s="68" t="str">
        <x:v>https://www.linkedin.com/jobs/view/site-ai-engineer-las-vegas-nv-at-suffolk-construction-4403244933?position=12&amp;pageNum=0&amp;refId=s48tP56EQnHdC6rkSZpaEg%3D%3D&amp;trackingId=R57%2FzuzvBxw1F3%2FYH7NfpQ%3D%3D</x:v>
      </x:c>
      <x:c r="V88" s="68" t="str">
        <x:v>R57/zuzvBxw1F3/YH7NfpQ==</x:v>
      </x:c>
      <x:c r="W88" s="68" t="str">
        <x:v>s48tP56EQnHdC6rkSZpaEg==</x:v>
      </x:c>
      <x:c r="X88" s="68" t="str">
        <x:v>https://www.linkedin.com/company/suffolk-construction?trk=public_jobs_jserp-result_job-search-card-subtitle</x:v>
      </x:c>
      <x:c r="Y88" s="68" t="str">
        <x:v>https://media.licdn.com/dms/image/v2/D4E0BAQHZIbANlnVZJw/company-logo_100_100/company-logo_100_100/0/1697034811445/suffolk_construction_logo?e=2147483647&amp;v=beta&amp;t=Rqzz7g1d1JnNWkfZj5G1PEV-5AiXHg8VoFr2armfzyY</x:v>
      </x:c>
      <x:c r="Z88" s="68"/>
      <x:c r="AA88" s="68" t="str">
        <x:v>&lt;strong&gt;Overview&lt;br&gt;&lt;br&gt;&lt;/strong&gt;&lt;strong&gt;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Las Vegas, Nevada&lt;br&gt;&lt;br&gt;&lt;strong&gt;Responsibilities&lt;br&gt;&lt;br&gt;&lt;/strong&gt;&lt;ul&gt;&lt;li&gt;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v>
      </x:c>
      <x:c r="AB88" s="68" t="str">
        <x:v>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Las Vegas, Nevada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v>
      </x:c>
      <x:c r="AC88" s="68" t="str">
        <x:v>Associate</x:v>
      </x:c>
      <x:c r="AD88" s="68" t="str">
        <x:v>Full-time</x:v>
      </x:c>
      <x:c r="AE88" s="68" t="str">
        <x:v>Engineering and Information Technology</x:v>
      </x:c>
      <x:c r="AF88" s="68" t="str">
        <x:v>Construction and Civil Engineering</x:v>
      </x:c>
      <x:c r="AG88" s="68" t="str">
        <x:v>https://www.linkedin.com/jobs/search/?position=1&amp;pageNum=0&amp;keywords=AI+Engineer&amp;location=United+States&amp;distance=0&amp;f_TPR=r604800</x:v>
      </x:c>
      <x:c r="AH88" s="68" t="str">
        <x:v>{'type': 'PostalAddress', 'streetAddress': '65 Allerton Street', 'addressLocality': 'Boston', 'addressRegion': 'Massachusetts', 'postalCode': '02119', 'addressCountry': 'US'}</x:v>
      </x:c>
      <x:c r="AI88" s="68" t="str">
        <x:v>http://www.suffolk.com</x:v>
      </x:c>
      <x:c r="AJ88" s="68" t="str">
        <x:v>America's Contractor</x:v>
      </x:c>
      <x:c r="AK88" s="68"/>
      <x:c r="AL88" s="68"/>
      <x:c r="AM88" s="68"/>
      <x:c r="AN88" s="68"/>
      <x:c r="AO88" s="68"/>
      <x:c r="AP88" s="68"/>
    </x:row>
    <x:row r="89" s="25" customFormat="1" ht="22" customHeight="1">
      <x:c r="A89" s="68" t="str">
        <x:v>4445521169</x:v>
      </x:c>
      <x:c r="B89" s="68" t="str">
        <x:v>Roamly Labs - AI Engineer</x:v>
      </x:c>
      <x:c r="C89" s="68" t="str">
        <x:v>Outdoorsy</x:v>
      </x:c>
      <x:c r="D89" s="68" t="str">
        <x:v>Austin, TX</x:v>
      </x:c>
      <x:c r="E89" s="68" t="str">
        <x:v>Failed</x:v>
      </x:c>
      <x:c r="F89" s="68"/>
      <x:c r="G89" s="69"/>
      <x:c r="H89" s="85" t="str">
        <x:v>2026-08-04</x:v>
      </x:c>
      <x:c r="I89" s="85"/>
      <x:c r="J89" s="68" t="str">
        <x:v>25</x:v>
      </x:c>
      <x:c r="K89" s="70"/>
      <x:c r="L89" s="86"/>
      <x:c r="M89" s="87"/>
      <x:c r="N89" s="71"/>
      <x:c r="O89" s="88"/>
      <x:c r="P89" s="89"/>
      <x:c r="Q89" s="89"/>
      <x:c r="R89" s="89"/>
      <x:c r="S89" s="73"/>
      <x:c r="T89" s="68"/>
      <x:c r="U89" s="68" t="str">
        <x:v>https://www.linkedin.com/jobs/view/roamly-labs-ai-engineer-at-outdoorsy-4445521169?position=5&amp;pageNum=7&amp;refId=amLXhiv5GwroBfdUvvGxcA%3D%3D&amp;trackingId=X5g%2Bk%2BpdFJY4nmFawd0Adg%3D%3D</x:v>
      </x:c>
      <x:c r="V89" s="68" t="str">
        <x:v>X5g+k+pdFJY4nmFawd0Adg==</x:v>
      </x:c>
      <x:c r="W89" s="68" t="str">
        <x:v>amLXhiv5GwroBfdUvvGxcA==</x:v>
      </x:c>
      <x:c r="X89" s="68" t="str">
        <x:v>https://www.linkedin.com/company/outdoorsy?trk=public_jobs_jserp-result_job-search-card-subtitle</x:v>
      </x:c>
      <x:c r="Y89" s="68" t="str">
        <x:v>https://media.licdn.com/dms/image/v2/D560BAQHsiL2v2CHyYA/company-logo_100_100/company-logo_100_100/0/1666105692387/outdoorsy_logo?e=2147483647&amp;v=beta&amp;t=nJqkit4Jl8RvbAMR_SFwaoCuZUUBbzICRt210cAyRrk</x:v>
      </x:c>
      <x:c r="Z89" s="68"/>
      <x:c r="AA89" s="68" t="str">
        <x:v>&lt;strong&gt;About Roamly Labs &amp;amp; The Outdoorsy Group&lt;br&gt;&lt;br&gt;&lt;/strong&gt;At the Outdoorsy Group, we've already revolutionized how people experience the open road. Now, at &lt;strong&gt;Roamly Labs &lt;/strong&gt;https://www.roamlylabs.ai/.&lt;br&gt;&lt;br&gt;The Labs is our dedicated innovation and incubation arm—we are building the next generation of intelligent infrastructure for the future of travel, mobility, and protection.&lt;br&gt;&lt;br&gt;Roamly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here.&lt;br&gt;&lt;br&gt;&lt;strong&gt;The Role: AI Engineer (AI-Native Builder)&lt;br&gt;&lt;br&gt;&lt;/strong&gt;We are seeking an extraordinary &lt;strong&gt;AI Engineer&lt;/strong&gt; who is an AI-native builder at heart. You aren't just a consumer of APIs; you possess a deep engineering foundation combined with a highly creative, driven DNA.&lt;br&gt;&lt;br&gt;In this role, you will architect, build, and deploy advanced &lt;strong&gt;Agentic systems &lt;/strong&gt;that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Labs.&lt;br&gt;&lt;br&gt;&lt;strong&gt;Requirements&lt;br&gt;&lt;br&gt;&lt;/strong&gt;&lt;strong&gt;Key Responsibilities &amp;amp; Deliverables&lt;br&gt;&lt;br&gt;&lt;/strong&gt;&lt;ul&gt;&lt;li&gt;Design &amp;amp; Deploy Agentic Systems: Build multi-agent AI architectures capable of autonomous reasoning, task planning, and executing complex workflows in real-world scenarios&lt;/li&gt;&lt;li&gt;Revolutionize Embedded Insurance: Develop AI-driven products through agents that power solutions we are innovating for the embedded insurance and autonomous mobility markets&lt;/li&gt;&lt;li&gt;Pioneer Telemetry &amp;amp; FSD Integration: Architect highly scalable AI systems that process real-time vehicle telemetry, working seamlessly alongside Full Self-Driving (FSD) and autonomous mobility systems&lt;/li&gt;&lt;li&gt;Rapid Prototyping to Production: Turn audacious ideas into functional MVPs within days, and scale them into robust, production-grade enterprise solutions&lt;/li&gt;&lt;li&gt;Drive an AI-Native Culture: Stay on the absolute bleeding edge of generative AI, LLMs, computer vision, and reinforcement learning, injecting an innovative mindset into every layer of our tech stack&lt;br&gt;&lt;br&gt;&lt;/li&gt;&lt;/ul&gt;&lt;strong&gt;Who You Are (Candidate Profile)&lt;br&gt;&lt;br&gt;&lt;/strong&gt;&lt;ul&gt;&lt;li&gt;The AI-Native Mindset: You think in terms of agentic workflows, embeddings, vector databases, and cognitive architectures. You view AI not as an add-on, but as the foundational core of modern software&lt;/li&gt;&lt;li&gt;Strong Engineering DNA: You have a proven track record of shipping production-grade software. You understand the nuances of MLOps, LLMOps, and cloud infrastructure (AWS/GCP)&lt;/li&gt;&lt;li&gt;Domain Curiosity: While you don't need to be an expert in all of them today, you are deeply eager to master the intersection of InsurTech, autonomous mobility, and IoT/telemetry data&lt;/li&gt;&lt;li&gt;Creative &amp;amp; Driven: You possess a high degree of autonomy, a bias for action, and the creative problem-solving skills required to navigate ambiguous, zero-to-one product spaces&lt;/li&gt;&lt;li&gt;Location: Based in or willing to relocate to Austin, TX, ready to collaborate closely with the team in our innovation hub&lt;br&gt;&lt;br&gt;&lt;/li&gt;&lt;/ul&gt;&lt;strong&gt;Bonus Points If You Have...&lt;br&gt;&lt;br&gt;&lt;/strong&gt;&lt;ul&gt;&lt;li&gt;Claude Certified Architect&lt;/li&gt;&lt;li&gt;Experience working with sensor fusion, geospatial data, Agentic systems or time-series telemetry from connected vehicles&lt;/li&gt;&lt;li&gt;Deep familiarity with agent frameworks (e.g., LangGraph, CrewAI, AutoGen) or custom-built cognitive loops&lt;/li&gt;&lt;li&gt;A portfolio of side projects, open-source contributions, or hackathon wins that demonstrate your passion for building&lt;/li&gt;&lt;li&gt;Candidates must be authorized to work in the United States without requiring employer visa sponsorship now or at any time in the future (including OPT EAD or F1). We are unable to sponsor work permits or visas. Applicants must be U.S. citizens or lawful residents (Green Card)&lt;br&gt;&lt;br&gt;&lt;br&gt;&lt;/li&gt;&lt;/ul&gt;&lt;strong&gt;Benefits&lt;br&gt;&lt;br&gt;&lt;/strong&gt;&lt;strong&gt;What We Offer&lt;br&gt;&lt;br&gt;&lt;/strong&gt;&lt;ul&gt;&lt;li&gt;The opportunity to shape the future of a multi-billion-dollar industry backed by the resources of the Outdoorsy Group&lt;/li&gt;&lt;li&gt;A high-autonomy, low-bureaucracy environment designed for builders&lt;/li&gt;&lt;li&gt;Competitive salary, equity, and comprehensive benefits&lt;/li&gt;&lt;li&gt;A vibrant workspace in Austin, TX, surrounded by a world-class team of innovators&lt;br&gt;&lt;br&gt;&lt;br&gt;&lt;/li&gt;&lt;/ul&gt;&lt;strong&gt;Are you ready to build what's next? &lt;/strong&gt;Apply to Roamly Labs today and help us drive the future of autonomous mobility and embedded insurance.</x:v>
      </x:c>
      <x:c r="AB89" s="68" t="str">
        <x:v>About Roamly Labs &amp;amp; The Outdoorsy Group
At the Outdoorsy Group, we've already revolutionized how people experience the open road. Now, at Roamly Labs https://www.roamlylabs.ai/.
The Labs is our dedicated innovation and incubation arm—we are building the next generation of intelligent infrastructure for the future of travel, mobility, and protection.
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
The Role: AI Engineer (AI-Native Builder)
We are seeking an extraordinary AI Engineer who is an AI-native builder at heart. You aren't just a consumer of APIs; you possess a deep engineering foundation combined with a highly creative, driven DNA.
In this role, you will architect, build, and deploy advanced Agentic systems 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
Requirements
Key Responsibilities &amp;amp; Deliverables
- Design &amp;amp; Deploy Agentic Systems: Build multi-agent AI architectures capable of autonomous reasoning, task planning, and executing complex workflows in real-world scenarios
- Revolutionize Embedded Insurance: Develop AI-driven products through agents that power solutions we are innovating for the embedded insurance and autonomous mobility markets
- Pioneer Telemetry &amp;amp; FSD Integration: Architect highly scalable AI systems that process real-time vehicle telemetry, working seamlessly alongside Full Self-Driving (FSD) and autonomous mobility systems
- Rapid Prototyping to Production: Turn audacious ideas into functional MVPs within days, and scale them into robust, production-grade enterprise solutions
- Drive an AI-Native Culture: Stay on the absolute bleeding edge of generative AI, LLMs, computer vision, and reinforcement learning, injecting an innovative mindset into every layer of our tech stack
Who You Are (Candidate Profile)
- The AI-Native Mindset: You think in terms of agentic workflows, embeddings, vector databases, and cognitive architectures. You view AI not as an add-on, but as the foundational core of modern software
- Strong Engineering DNA: You have a proven track record of shipping production-grade software. You understand the nuances of MLOps, LLMOps, and cloud infrastructure (AWS/GCP)
- Domain Curiosity: While you don't need to be an expert in all of them today, you are deeply eager to master the intersection of InsurTech, autonomous mobility, and IoT/telemetry data
- Creative &amp;amp; Driven: You possess a high degree of autonomy, a bias for action, and the creative problem-solving skills required to navigate ambiguous, zero-to-one product spaces
- Location: Based in or willing to relocate to Austin, TX, ready to collaborate closely with the team in our innovation hub
Bonus Points If You Have...
- Claude Certified Architect
- Experience working with sensor fusion, geospatial data, Agentic systems or time-series telemetry from connected vehicles
- Deep familiarity with agent frameworks (e.g., LangGraph, CrewAI, AutoGen) or custom-built cognitive loops
- A portfolio of side projects, open-source contributions, or hackathon wins that demonstrate your passion for building
- Candidates must be authorized to work in the United States without requiring employer visa sponsorship now or at any time in the future (including OPT EAD or F1). We are unable to sponsor work permits or visas. Applicants must be U.S. citizens or lawful residents (Green Card)
Benefits
What We Offer
- The opportunity to shape the future of a multi-billion-dollar industry backed by the resources of the Outdoorsy Group
- A high-autonomy, low-bureaucracy environment designed for builders
- Competitive salary, equity, and comprehensive benefits
- A vibrant workspace in Austin, TX, surrounded by a world-class team of innovators
Are you ready to build what's next? Apply to Roamly Labs today and help us drive the future of autonomous mobility and embedded insurance.</x:v>
      </x:c>
      <x:c r="AC89" s="68" t="str">
        <x:v>Not Applicable</x:v>
      </x:c>
      <x:c r="AD89" s="68" t="str">
        <x:v>Full-time</x:v>
      </x:c>
      <x:c r="AE89" s="68" t="str">
        <x:v>Engineering and Information Technology</x:v>
      </x:c>
      <x:c r="AF89" s="68" t="str">
        <x:v>IT Services and IT Consulting</x:v>
      </x:c>
      <x:c r="AG89" s="68" t="str">
        <x:v>https://www.linkedin.com/jobs/search/?position=1&amp;pageNum=0&amp;keywords=AI+Engineer&amp;location=United+States&amp;distance=0&amp;f_TPR=r604800</x:v>
      </x:c>
      <x:c r="AH89" s="68" t="str">
        <x:v>{'type': 'PostalAddress', 'streetAddress': '1801 E Cesar Chavez St', 'addressLocality': 'Austin', 'addressRegion': 'Texas', 'postalCode': '78702', 'addressCountry': 'US'}</x:v>
      </x:c>
      <x:c r="AI89" s="68" t="str">
        <x:v>https://www.outdoorsy.com</x:v>
      </x:c>
      <x:c r="AJ89" s="68"/>
      <x:c r="AK89" s="68"/>
      <x:c r="AL89" s="68"/>
      <x:c r="AM89" s="68"/>
      <x:c r="AN89" s="68"/>
      <x:c r="AO89" s="68"/>
      <x:c r="AP89" s="68"/>
    </x:row>
    <x:row r="90" s="25" customFormat="1" ht="22" customHeight="1">
      <x:c r="A90" s="68" t="str">
        <x:v>4447359294</x:v>
      </x:c>
      <x:c r="B90" s="68" t="str">
        <x:v>Forward Deployed AI Engineer | San Diego, CA</x:v>
      </x:c>
      <x:c r="C90" s="68" t="str">
        <x:v>Cadre AI</x:v>
      </x:c>
      <x:c r="D90" s="68" t="str">
        <x:v>San Diego, CA</x:v>
      </x:c>
      <x:c r="E90" s="68" t="str">
        <x:v>Applied</x:v>
      </x:c>
      <x:c r="F90" s="68"/>
      <x:c r="G90" s="69"/>
      <x:c r="H90" s="85" t="str">
        <x:v>2026-08-05</x:v>
      </x:c>
      <x:c r="I90" s="85"/>
      <x:c r="J90" s="68" t="str">
        <x:v>108</x:v>
      </x:c>
      <x:c r="K90" s="70"/>
      <x:c r="L90" s="86"/>
      <x:c r="M90" s="87"/>
      <x:c r="N90" s="71"/>
      <x:c r="O90" s="88"/>
      <x:c r="P90" s="89"/>
      <x:c r="Q90" s="89"/>
      <x:c r="R90" s="89"/>
      <x:c r="S90" s="73"/>
      <x:c r="T90" s="68"/>
      <x:c r="U90" s="68" t="str">
        <x:v>https://www.linkedin.com/jobs/view/forward-deployed-ai-engineer-san-diego-ca-at-cadre-ai-4447359294?position=9&amp;pageNum=7&amp;refId=amLXhiv5GwroBfdUvvGxcA%3D%3D&amp;trackingId=bB52fkdSnjJL7eDVadJnxA%3D%3D</x:v>
      </x:c>
      <x:c r="V90" s="68" t="str">
        <x:v>bB52fkdSnjJL7eDVadJnxA==</x:v>
      </x:c>
      <x:c r="W90" s="68" t="str">
        <x:v>amLXhiv5GwroBfdUvvGxcA==</x:v>
      </x:c>
      <x:c r="X90" s="68" t="str">
        <x:v>https://www.linkedin.com/company/cadre-ai-services?trk=public_jobs_jserp-result_job-search-card-subtitle</x:v>
      </x:c>
      <x:c r="Y90" s="68" t="str">
        <x:v>https://media.licdn.com/dms/image/v2/D560BAQEiyeOTd2isag/company-logo_100_100/B56ZW0oiGtHsAQ-/0/1742492279581/cadre_ai_services_logo?e=2147483647&amp;v=beta&amp;t=ScxA6qHayGVyEogkWb-r7SEASq6eyIOrcLOVE31-SXs</x:v>
      </x:c>
      <x:c r="Z90" s="68"/>
      <x:c r="AA90" s="68" t="str">
        <x:v>&lt;strong&gt;About Cadre AI&lt;br&gt;&lt;br&gt;&lt;/strong&gt;Cadre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teams.&lt;br&gt;&lt;br&gt;&lt;strong&gt;&lt;strong&gt;The Role&lt;br&gt;&lt;br&gt;&lt;/strong&gt;&lt;/strong&gt;The Forward Deployed AI Engineer is a critical role at Cadre AI. &lt;strong&gt;You are the person in the room with the client, the person writing the code, and the person architecting the system.&lt;/strong&gt; There is no handoff between “strategy” and “execution.” You own both.&lt;br&gt;&lt;br&gt;You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globally.&lt;br&gt;&lt;br&gt;This role is AI-first in how you work, not just what you build. You use Claude Code, Cursor, Codex, and whatever tools let you ship quality code at a pace that would be impossible without them. Speed and quality are not tradeoffs here. They’re both the expectation.&lt;br&gt;&lt;br&gt;&lt;strong&gt;&lt;strong&gt;What You’ll Do&lt;br&gt;&lt;br&gt;&lt;/strong&gt;&lt;/strong&gt;&lt;strong&gt;&lt;strong&gt;Own Client Delivery End-to-End&lt;br&gt;&lt;br&gt;&lt;/strong&gt;&lt;/strong&gt;&lt;ul&gt;&lt;li&gt;Embed with clients across private equity, lending, real estate, and SaaS to map their operations and identify the AI use cases that will move the business&lt;/li&gt;&lt;li&gt;Run discovery sessions, translate business pain into technical architecture, scope the work, and then build it yourself&lt;/li&gt;&lt;li&gt;Present to C-suite stakeholders, translating complex trade-offs into clear decisions with measurable expected outcomes&lt;/li&gt;&lt;li&gt;Manage client relationships as a trusted technical partner, not a vendor. Clients should feel like you’re part of their team&lt;br&gt;&lt;br&gt;&lt;/li&gt;&lt;/ul&gt;&lt;strong&gt;&lt;strong&gt;Build and Ship Production AI Systems&lt;br&gt;&lt;br&gt;&lt;/strong&gt;&lt;/strong&gt;&lt;ul&gt;&lt;li&gt;Architect and deploy LLM/RAG pipelines, agent orchestration systems, conversational AI, document intelligence, and predictive analytics&lt;/li&gt;&lt;li&gt;Use AI-native development tools (Claude Code, Cursor, Codex) to write, review, and iterate on production code at startup speed&lt;/li&gt;&lt;li&gt;Build evaluation frameworks, regression suites, and observability layers that prove your systems work and catch when they don’t&lt;/li&gt;&lt;li&gt;Convert proofs-of-concept into stable, monitored production services. The demo is not the deliverable. The running system is&lt;/li&gt;&lt;li&gt;Design and enforce data quality rules, ETL pipelines, and secure cloud deployments across AWS, GCP, and Azure&lt;br&gt;&lt;br&gt;&lt;/li&gt;&lt;/ul&gt;&lt;strong&gt;&lt;strong&gt;Drive Strategy and Scale the Practice&lt;br&gt;&lt;br&gt;&lt;/strong&gt;&lt;/strong&gt;&lt;ul&gt;&lt;li&gt;Contribute to Cadre’s 8-pillar AI transformation framework, turning field learnings into repeatable playbooks&lt;/li&gt;&lt;li&gt;Identify patterns across engagements and build reusable components, prompt libraries, and architecture templates that accelerate future pods&lt;/li&gt;&lt;li&gt;Scout emerging models, tools, and research (Claude, GPT, Gemini, Llama, open-source). Run experiments and share what works with the team&lt;/li&gt;&lt;li&gt;Mentor junior engineers through pair programming, design reviews, and hands-on coaching&lt;br&gt;&lt;br&gt;&lt;/li&gt;&lt;/ul&gt;&lt;strong&gt;&lt;strong&gt;Who You Are&lt;br&gt;&lt;br&gt;&lt;/strong&gt;&lt;/strong&gt;&lt;ul&gt;&lt;li&gt;3+ years building software, with 2+ years focused on AI/ML systems in production (not notebooks, not proofs-of-concept)&lt;/li&gt;&lt;li&gt;You have shipped LLM-powered products to real users and understand the gap between a working demo and a reliable system&lt;/li&gt;&lt;li&gt;Hands-on with modern LLMs, RAG architectures, agent frameworks, and prompt engineering. You have opinions about when to use each and you can defend them&lt;/li&gt;&lt;li&gt;Fluent in Typescript &amp;amp; Python and comfortable across the stack (React/Next.js, PostgreSQL, cloud infrastructure). You can build a full application, not just a model&lt;/li&gt;&lt;li&gt;Exceptional communicator who can whiteboard architecture with engineers in the morning and present ROI to a CFO in the afternoon&lt;/li&gt;&lt;li&gt;AI-native in how you work. You actively use AI coding tools to multiply your output and you’re always testing new ones&lt;/li&gt;&lt;li&gt;Comfortable with ambiguity. You can walk into a client engagement with a vague problem statement and leave with a concrete plan&lt;/li&gt;&lt;li&gt;Strong judgment about when to use prompt engineering vs. RAG vs. fine-tuning vs. classical ML based on the actual constraints (data, latency, budget, timeline)&lt;br&gt;&lt;br&gt;&lt;/li&gt;&lt;/ul&gt;&lt;strong&gt;&lt;strong&gt;What Sets You Apart&lt;br&gt;&lt;br&gt;&lt;/strong&gt;&lt;/strong&gt;&lt;ul&gt;&lt;li&gt;Former founder, early startup engineer, or someone who has operated like one inside a larger org. You know what it means to own the entire problem&lt;/li&gt;&lt;li&gt;Track record of deploying AI systems that moved a business KPI, not just a model metric. You can point to the revenue gained, cost saved, or time eliminated&lt;/li&gt;&lt;li&gt;Experience in consulting, professional services, or client-facing engineering where you had to earn trust and deliver under pressure&lt;/li&gt;&lt;li&gt;You’ve led end-to-end launches of agent-based or LLM systems at production scale, including the unglamorous work of error analysis, edge case handling, and monitoring&lt;/li&gt;&lt;li&gt;Active in the AI community. You write, speak, contribute to open source, or build in public. You’re a practitioner, not a spectator&lt;/li&gt;&lt;li&gt;Domain experience in financial services, real estate, lending, or B2B SaaS&lt;br&gt;&lt;br&gt;&lt;/li&gt;&lt;/ul&gt;&lt;strong&gt;&lt;strong&gt;Our Tech Stack&lt;br&gt;&lt;br&gt;&lt;/strong&gt;&lt;/strong&gt;&lt;strong&gt;AI &amp;amp; LLM&lt;br&gt;&lt;br&gt;&lt;/strong&gt;LiteLLM, DSPy, Langfuse, Claude, GPT, custom agent frameworks&lt;br&gt;&lt;br&gt;&lt;strong&gt;Backend&lt;br&gt;&lt;br&gt;&lt;/strong&gt;Typescript, Python, FastAPI&lt;br&gt;&lt;br&gt;&lt;strong&gt;Frontend&lt;br&gt;&lt;br&gt;&lt;/strong&gt;React, Next.js, Vercel&lt;br&gt;&lt;br&gt;&lt;strong&gt;Data&lt;br&gt;&lt;br&gt;&lt;/strong&gt;PostgreSQL with pgvector, Supabase&lt;br&gt;&lt;br&gt;&lt;strong&gt;Infrastructure&lt;br&gt;&lt;br&gt;&lt;/strong&gt;AWS, Render (PaaS), Docker&lt;br&gt;&lt;br&gt;&lt;strong&gt;Dev Tools&lt;br&gt;&lt;br&gt;&lt;/strong&gt;Claude Code, Cursor, GitHub&lt;br&gt;&lt;br&gt;&lt;strong&gt;&lt;strong&gt;Why Cadre AI&lt;br&gt;&lt;br&gt;&lt;/strong&gt;&lt;/strong&gt;&lt;ul&gt;&lt;li&gt;Real ownership. You will not be writing tickets for someone else to build. You scope it, build it, ship it, and see the impact with your own eyes&lt;/li&gt;&lt;li&gt;Variety and velocity. Every engagement is a different industry, a different problem, and a new chance to build something that matters. You won’t get bored&lt;/li&gt;&lt;li&gt;AI-native culture. We don’t just build AI for clients. We use it to run our own operations. You’ll work with people who are as obsessed with the tools as you are&lt;/li&gt;&lt;li&gt;Access to the frontier. Through our partnerships with Anthropic, OpenAI, and YC, you’ll be among the first to experiment with new models and capabilities&lt;/li&gt;&lt;li&gt;Upside. We’re a bootstrapped, profitable, fast-growing company. Early team members share in the success they help create&lt;/li&gt;&lt;li&gt;No bureaucracy. Small pods. Clear accountability. The best idea wins, regardless of who says it&lt;br&gt;&lt;br&gt;&lt;/li&gt;&lt;/ul&gt;Cadre AI is building the future of how companies adopt and operate AI. We believe the best AI systems come from engineers who understand both the technology and the business it serves. If that’s how you think, we want to talk.&lt;br&gt;&lt;br&gt;&lt;strong&gt;Compensation&lt;br&gt;&lt;br&gt;&lt;/strong&gt;The base pay range for this role is $100,000 – $140,000 per year.</x:v>
      </x:c>
      <x:c r="AB90" s="68" t="str">
        <x:v>About Cadre AI
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
The Role
The Forward Deployed AI Engineer is a critical role at Cadre AI. You are the person in the room with the client, the person writing the code, and the person architecting the system. There is no handoff between “strategy” and “execution.” You own both.
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
This role is AI-first in how you work, not just what you build. You use Claude Code, Cursor, Codex, and whatever tools let you ship quality code at a pace that would be impossible without them. Speed and quality are not tradeoffs here. They’re both the expectation.
What You’ll Do
Own Client Delivery End-to-End
- Embed with clients across private equity, lending, real estate, and SaaS to map their operations and identify the AI use cases that will move the business
- Run discovery sessions, translate business pain into technical architecture, scope the work, and then build it yourself
- Present to C-suite stakeholders, translating complex trade-offs into clear decisions with measurable expected outcomes
- Manage client relationships as a trusted technical partner, not a vendor. Clients should feel like you’re part of their team
Build and Ship Production AI Systems
- Architect and deploy LLM/RAG pipelines, agent orchestration systems, conversational AI, document intelligence, and predictive analytics
- Use AI-native development tools (Claude Code, Cursor, Codex) to write, review, and iterate on production code at startup speed
- Build evaluation frameworks, regression suites, and observability layers that prove your systems work and catch when they don’t
- Convert proofs-of-concept into stable, monitored production services. The demo is not the deliverable. The running system is
- Design and enforce data quality rules, ETL pipelines, and secure cloud deployments across AWS, GCP, and Azure
Drive Strategy and Scale the Practice
- Contribute to Cadre’s 8-pillar AI transformation framework, turning field learnings into repeatable playbooks
- Identify patterns across engagements and build reusable components, prompt libraries, and architecture templates that accelerate future pods
- Scout emerging models, tools, and research (Claude, GPT, Gemini, Llama, open-source). Run experiments and share what works with the team
- Mentor junior engineers through pair programming, design reviews, and hands-on coaching
Who You Are
- 3+ years building software, with 2+ years focused on AI/ML systems in production (not notebooks, not proofs-of-concept)
- You have shipped LLM-powered products to real users and understand the gap between a working demo and a reliable system
- Hands-on with modern LLMs, RAG architectures, agent frameworks, and prompt engineering. You have opinions about when to use each and you can defend them
- Fluent in Typescript &amp;amp; Python and comfortable across the stack (React/Next.js, PostgreSQL, cloud infrastructure). You can build a full application, not just a model
- Exceptional communicator who can whiteboard architecture with engineers in the morning and present ROI to a CFO in the afternoon
- AI-native in how you work. You actively use AI coding tools to multiply your output and you’re always testing new ones
- Comfortable with ambiguity. You can walk into a client engagement with a vague problem statement and leave with a concrete plan
- Strong judgment about when to use prompt engineering vs. RAG vs. fine-tuning vs. classical ML based on the actual constraints (data, latency, budget, timeline)
What Sets You Apart
- Former founder, early startup engineer, or someone who has operated like one inside a larger org. You know what it means to own the entire problem
- Track record of deploying AI systems that moved a business KPI, not just a model metric. You can point to the revenue gained, cost saved, or time eliminated
- Experience in consulting, professional services, or client-facing engineering where you had to earn trust and deliver under pressure
- You’ve led end-to-end launches of agent-based or LLM systems at production scale, including the unglamorous work of error analysis, edge case handling, and monitoring
- Active in the AI community. You write, speak, contribute to open source, or build in public. You’re a practitioner, not a spectator
- Domain experience in financial services, real estate, lending, or B2B SaaS
Our Tech Stack
AI &amp;amp; LLM
LiteLLM, DSPy, Langfuse, Claude, GPT, custom agent frameworks
Backend
Typescript, Python, FastAPI
Frontend
React, Next.js, Vercel
Data
PostgreSQL with pgvector, Supabase
Infrastructure
AWS, Render (PaaS), Docker
Dev Tools
Claude Code, Cursor, GitHub
Why Cadre AI
- Real ownership. You will not be writing tickets for someone else to build. You scope it, build it, ship it, and see the impact with your own eyes
- Variety and velocity. Every engagement is a different industry, a different problem, and a new chance to build something that matters. You won’t get bored
- AI-native culture. We don’t just build AI for clients. We use it to run our own operations. You’ll work with people who are as obsessed with the tools as you are
- Access to the frontier. Through our partnerships with Anthropic, OpenAI, and YC, you’ll be among the first to experiment with new models and capabilities
- Upside. We’re a bootstrapped, profitable, fast-growing company. Early team members share in the success they help create
- No bureaucracy. Small pods. Clear accountability. The best idea wins, regardless of who says it
Cadre AI is building the future of how companies adopt and operate AI. We believe the best AI systems come from engineers who understand both the technology and the business it serves. If that’s how you think, we want to talk.
Compensation
The base pay range for this role is $100,000 – $140,000 per year.</x:v>
      </x:c>
      <x:c r="AC90" s="68" t="str">
        <x:v>Not Applicable</x:v>
      </x:c>
      <x:c r="AD90" s="68" t="str">
        <x:v>Full-time</x:v>
      </x:c>
      <x:c r="AE90" s="68" t="str">
        <x:v>Engineering and Information Technology</x:v>
      </x:c>
      <x:c r="AF90" s="68" t="str">
        <x:v>Business Consulting and Services</x:v>
      </x:c>
      <x:c r="AG90" s="68" t="str">
        <x:v>https://www.linkedin.com/jobs/search/?position=1&amp;pageNum=0&amp;keywords=AI+Engineer&amp;location=United+States&amp;distance=0&amp;f_TPR=r604800</x:v>
      </x:c>
      <x:c r="AH90" s="68" t="str">
        <x:v>{'type': 'PostalAddress', 'addressLocality': 'San Diego', 'addressRegion': 'California', 'addressCountry': 'US'}</x:v>
      </x:c>
      <x:c r="AI90" s="68" t="str">
        <x:v>https://www.gocadre.ai</x:v>
      </x:c>
      <x:c r="AJ90" s="68" t="str">
        <x:v>Helping businesses leverage AI to drive revenue growth, improve margins, automate workflows, and elevate their teams.</x:v>
      </x:c>
      <x:c r="AK90" s="68"/>
      <x:c r="AL90" s="68"/>
      <x:c r="AM90" s="68"/>
      <x:c r="AN90" s="68"/>
      <x:c r="AO90" s="68"/>
      <x:c r="AP90" s="68"/>
    </x:row>
    <x:row r="91" s="25" customFormat="1" ht="22" customHeight="1">
      <x:c r="A91" s="68" t="str">
        <x:v>4445022961</x:v>
      </x:c>
      <x:c r="B91" s="68" t="str">
        <x:v>Machine Learning Engineer</x:v>
      </x:c>
      <x:c r="C91" s="68" t="str">
        <x:v>Dow</x:v>
      </x:c>
      <x:c r="D91" s="68" t="str">
        <x:v>Midland, MI</x:v>
      </x:c>
      <x:c r="E91" s="68" t="str">
        <x:v>Applied</x:v>
      </x:c>
      <x:c r="F91" s="68"/>
      <x:c r="G91" s="69"/>
      <x:c r="H91" s="85" t="str">
        <x:v>2026-08-06</x:v>
      </x:c>
      <x:c r="I91" s="85"/>
      <x:c r="J91" s="68" t="str">
        <x:v>133</x:v>
      </x:c>
      <x:c r="K91" s="70"/>
      <x:c r="L91" s="86"/>
      <x:c r="M91" s="87"/>
      <x:c r="N91" s="71"/>
      <x:c r="O91" s="88"/>
      <x:c r="P91" s="89"/>
      <x:c r="Q91" s="89"/>
      <x:c r="R91" s="89"/>
      <x:c r="S91" s="73"/>
      <x:c r="T91" s="68"/>
      <x:c r="U91" s="68" t="str">
        <x:v>https://www.linkedin.com/jobs/view/machine-learning-engineer-at-dow-4445022961?position=7&amp;pageNum=7&amp;refId=amLXhiv5GwroBfdUvvGxcA%3D%3D&amp;trackingId=kEIynOvyLK8e1Cc%2BO7%2FjLg%3D%3D</x:v>
      </x:c>
      <x:c r="V91" s="68" t="str">
        <x:v>kEIynOvyLK8e1Cc+O7/jLg==</x:v>
      </x:c>
      <x:c r="W91" s="68" t="str">
        <x:v>amLXhiv5GwroBfdUvvGxcA==</x:v>
      </x:c>
      <x:c r="X91" s="68" t="str">
        <x:v>https://www.linkedin.com/company/dow-chemical?trk=public_jobs_jserp-result_job-search-card-subtitle</x:v>
      </x:c>
      <x:c r="Y91" s="68" t="str">
        <x:v>https://media.licdn.com/dms/image/v2/D560BAQEoEtwab1-SNA/company-logo_100_100/company-logo_100_100/0/1719819840192/dow_chemical_logo?e=2147483647&amp;v=beta&amp;t=EEH1XfstTTT-v-qhWGfPHotQtC0b5WWFicHKLFp0GEA</x:v>
      </x:c>
      <x:c r="Z91" s="68"/>
      <x:c r="AA91" s="68" t="str">
        <x:v>At Dow, we believe in putting people first and we’re passionate about delivering integrity, respect and safety to our customers, our employees and the planet.&lt;br&gt;&lt;br&gt;Our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place.&lt;br&gt;&lt;br&gt;&lt;strong&gt;About You And This Role&lt;br&gt;&lt;br&gt;&lt;/strong&gt;&lt;strong&gt;Dow &lt;/strong&gt;has an exciting and challenging opportunity for a&lt;strong&gt; Machine Learning Engineer &lt;/strong&gt;within our&lt;strong&gt; Enterprise Data &amp;amp; Analytics &lt;/strong&gt;organization located in &lt;strong&gt;Houston, TX; Midland, MI; &lt;/strong&gt;or &lt;strong&gt;Champaign, IL&lt;/strong&gt;.&lt;br&gt;&lt;br&gt;As a Machine Learning Engineer in our Data &amp;amp; Analytics Platforms team specializing in data and analytics solutions&lt;strong&gt;, &lt;/strong&gt;you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&lt;br&gt;&lt;br&gt;&lt;strong&gt;Responsibilities&lt;br&gt;&lt;br&gt;&lt;/strong&gt;&lt;ul&gt;&lt;li&gt;Designs and implements pipelines and other workflow infrastructure to meet the requirements for new AI/ML solutions that involve online, batch, or real-time inference&lt;/li&gt;&lt;li&gt;Deploys and monitors machine learning models in production using Databricks Model Registry, Jobs, and Workspace&lt;/li&gt;&lt;li&gt;Frequently collaborates with data engineers, DevOps/platform engineers, data scientists, and domain experts as part of a comprehensive MLOps framework to ensure AI/ML solutions are performant, reliable, and maintainable&lt;/li&gt;&lt;li&gt;Works frequently with application development teams to ensure seamless integrations&lt;/li&gt;&lt;li&gt;Works proficiently with various ML frameworks, such as scikit-learn, TensorFlow, PyTorch, Keras, as well as distributed frameworks like Spark MLlib and Ray&lt;/li&gt;&lt;li&gt;Performs data analysis, feature engineering, model selection, hyperparameter optimization, and model evaluation using Databricks MLFlow, Delta Lake, and SQL Analytics and other tools as part of the end-to-end ML lifecycle &lt;/li&gt;&lt;li&gt;Researches and implements new machine learning techniques and methods using Databricks, staying abreast of the latest trends and technologies&lt;/li&gt;&lt;li&gt;Documents and communicates machine learning results and insights to stakeholders using Databricks notebooks and dashboards &lt;/li&gt;&lt;li&gt;Understands IT security policies and implements them as part of new solution designs &lt;/li&gt;&lt;li&gt;Follows and promotes the best practices and standards for machine learning and MLOps across the organization using Databricks and Azure DevOps&lt;br&gt;&lt;br&gt;&lt;/li&gt;&lt;/ul&gt;&lt;strong&gt;Your Skills&lt;br&gt;&lt;br&gt;&lt;/strong&gt;&lt;ul&gt;&lt;li&gt;Solutions Delivery: End-to-end ownership of Azure data solutions—translating ambiguous business needs into robust architectural blueprints, then delivering through design, build, test, deployment, and post‑launch monitoring with a focus on reliability, performance, and cost efficiency.&lt;/li&gt;&lt;li&gt;Cloud Computing: Designing and operating cloud‑native architectures on Azure (e.g., Databricks Lakehouse, ADF/Workflows, Functions, Logic Apps, Azure SQL) with CI/CD and IaC to scale securely and economically for ML, BI, streaming, and web applications.&lt;/li&gt;&lt;li&gt;Integration Services: Building secure, high‑throughput integrations—REST APIs and event/stream pipelines (e.g., Event Hubs/Kafka)—to connect polyglot data stores (SQL Server, Cosmos DB, Neo4j) and enable real‑time and batch data products.&lt;/li&gt;&lt;li&gt;Security Awareness: Embedding governance, identity, and compliance into the architecture (OAuth/RBAC, data governance, re‑authorization/ownership verification), enforcing code reviews and automated controls across pipelines and deployments.&lt;/li&gt;&lt;li&gt;Strategic Planning: Aligning platform roadmaps and technology choices with enterprise strategy, mentoring engineers on best practices, defining standards and KPIs, and prioritizing modernization and cost‑optimization initiatives that maximize business impact.&lt;br&gt;&lt;br&gt;&lt;/li&gt;&lt;/ul&gt;&lt;strong&gt;Qualifications&lt;br&gt;&lt;br&gt;&lt;/strong&gt;&lt;ul&gt;&lt;li&gt;A minimum of a Bachelor's degree, or 8 years relevant experience, or relevant military experience at an E6 rank/Petty Officer 2nd Class or higher is required  &lt;/li&gt;&lt;li&gt;A minimum of 3 years of experience developing solutions in machine learning, data science, or related field&lt;/li&gt;&lt;li&gt;A minimum requirement for this U.S. based position is the ability to work legally in the United States. No visa sponsorship/support is available for this position, including for any type of U.S. permanent residency (green card) process&lt;br&gt;&lt;br&gt;&lt;/li&gt;&lt;/ul&gt;&lt;strong&gt;Preferred Qualifications&lt;br&gt;&lt;br&gt;&lt;/strong&gt;&lt;ul&gt;&lt;li&gt;A degree in computer science, engineering, mathematics, statistics, data science or related field&lt;/li&gt;&lt;li&gt;Proficient in Python and one or more machine learning frameworks such as TensorFlow, PyTorch, Scikit-learn, etc&lt;/li&gt;&lt;li&gt;Experience in developing and deploying machine learning models and pipelines on the Databricks platform using Databricks MLflow, Delta Lake, SQL Analytics, Model Registry, Jobs, and Workspace&lt;/li&gt;&lt;li&gt;Strong knowledge of machine learning concepts, techniques, and algorithms &lt;/li&gt;&lt;li&gt;Ability to perform data analysis, feature engineering, model selection, optimization, and evaluation using Databricks&lt;/li&gt;&lt;li&gt;Ability to communicate complex machine learning concepts and results to technical and non-technical audiences using Databricks notebooks and dashboards&lt;/li&gt;&lt;li&gt;Ability to work independently and collaboratively in a fast-paced and dynamic environment &lt;/li&gt;&lt;li&gt;Curiosity and passion for learning new machine learning skills and technologies using Databricks&lt;/li&gt;&lt;li&gt;Strong knowledge of data modeling, data warehousing, and ETL processes &lt;/li&gt;&lt;li&gt;Experience designing and deploying into production both traditional and generative AI systems&lt;/li&gt;&lt;li&gt;Proficiency in SQL and experience with big data technologies such as Apache Spark and Hive&lt;/li&gt;&lt;li&gt;Experience working within Azure Machine Learning &lt;/li&gt;&lt;li&gt;Experience containerizing and deploying ML models to Azure Kubernetes Service &lt;/li&gt;&lt;li&gt;Experience with Azure Data Factory, Azure Data Lake Storage Gen2, and other Azure services&lt;/li&gt;&lt;li&gt;Multi-application and cross-platform design experience  &lt;/li&gt;&lt;li&gt;Understanding of data lakehouse platform design and associated workflows &lt;/li&gt;&lt;li&gt;Ability to thrive in challenging situations and solve complex problems &lt;/li&gt;&lt;li&gt;Ability to manage own work effort in multiple projects with little supervision  &lt;/li&gt;&lt;li&gt;Interested in emerging technologies with the ability to quickly learn and exploit cutting edge offerings to achieve business objectives&lt;br&gt;&lt;br&gt;&lt;/li&gt;&lt;/ul&gt;&lt;strong&gt;Additional Notes&lt;br&gt;&lt;br&gt;&lt;/strong&gt;&lt;ul&gt;&lt;li&gt;This position does not offer relocation assistance   &lt;/li&gt;&lt;li&gt;This position does not have people leadership responsibility. This position is an Independent Contributor; however, you may act as coach and mentor to junior resources&lt;br&gt;&lt;br&gt;&lt;/li&gt;&lt;/ul&gt;&lt;strong&gt;Benefits – What Dow Offers You&lt;br&gt;&lt;br&gt;&lt;/strong&gt;We invest in you.&lt;br&gt;&lt;br&gt;Dow invests in total rewards programs to help you manage all aspects of you: your pay, your health, your life, your future, and your career. You bring your background, talent, and perspective to work every day. Dow rewards that commitment by investing in your total wellbeing.&lt;br&gt;&lt;br&gt;Here are just a few highlights of what you would be offered as a Dow employee:&lt;br&gt;&lt;br&gt;&lt;ul&gt;&lt;li&gt;Equitable and market-competitive base pay and bonus opportunity across our global markets, along with locally relevant incentives. &lt;/li&gt;&lt;li&gt;Benefits and programs to support your physical, mental, financial, and social well-being, to help you get the care you need...when you need it. &lt;/li&gt;&lt;li&gt;Competitive retirement program that may include company-provided benefits, savings opportunities, financial planning, and educational resources to help you achieve your long term financial-goals.&lt;/li&gt;&lt;ul&gt;&lt;li&gt;Employee stock purchase programs (availability varies depending on location).&lt;/li&gt;&lt;/ul&gt;&lt;li&gt;Student Debt Retirement Savings Match Program (U.S. only).&lt;/li&gt;&lt;ul&gt;&lt;li&gt;Dow will take the value of monthly student debt payments and apply them as if they are contributions to the Employees’ Savings Plan (401(k)), helping employees reach the Company match.&lt;/li&gt;&lt;/ul&gt;&lt;li&gt;Robust medical and life insurance packages that offer a variety of coverage options to meet your individual needs. Travel insurance is also available in certain countries/locations.&lt;/li&gt;&lt;li&gt;Opportunities to learn and grow through training and mentoring, work experiences, community involvement and team building. &lt;/li&gt;&lt;li&gt;Workplace culture empowering role-based flexibility to maximize personal productivity and balance personal needs. &lt;/li&gt;&lt;li&gt;Competitive yearly vacation allowance.&lt;/li&gt;&lt;li&gt;Paid time off for new parents (birthing and non-birthing, including adoptive and foster parents). &lt;/li&gt;&lt;li&gt;Paid time off to care for family members who are sick or injured. &lt;/li&gt;&lt;li&gt;Paid time off to support volunteering and Employee Resource Group’s (ERG) participation. &lt;/li&gt;&lt;li&gt;Wellbeing Portal for all Dow employees, our one-stop shop to promote wellbeing, empowering employees to take ownership of their entire wellbeing journey.&lt;/li&gt;&lt;li&gt;On-site fitness facilities to help stay healthy and active (availability varies depending on location).&lt;/li&gt;&lt;li&gt;Employee discounts for online shopping, cinema tickets, gym memberships and more.&lt;/li&gt;&lt;li&gt;Additionally, some of our locations might offer:&lt;/li&gt;&lt;ul&gt;&lt;li&gt;Transportation allowance (availability varies depending on location)&lt;/li&gt;&lt;li&gt;Meal subsidiaries/vouchers (availability varies depending on location)&lt;/li&gt;&lt;li&gt;Carbon-neutral transportation incentives e.g. bike to work (availability varies depending on location)&lt;br&gt;&lt;/li&gt;&lt;/ul&gt;&lt;/ul&gt;Join our team, we can make a difference together.&lt;br&gt;&lt;br&gt;&lt;strong&gt;About Dow&lt;br&gt;&lt;br&gt;&lt;/strong&gt;Dow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www.dow.com.&lt;br&gt;&lt;br&gt;As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www.dow.com.&lt;br&gt;&lt;br&gt;Dow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x:v>
      </x:c>
      <x:c r="AB91" s="68" t="str">
        <x:v>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About You And This Role
Dow has an exciting and challenging opportunity for a Machine Learning Engineer within our Enterprise Data &amp;amp; Analytics organization located in Houston, TX; Midland, MI; or Champaign, IL.
As a Machine Learning Engineer in our Data &amp;amp; Analytics Platforms team specializing in data and analytics solutions, 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Responsibilities
- Designs and implements pipelines and other workflow infrastructure to meet the requirements for new AI/ML solutions that involve online, batch, or real-time inference
- Deploys and monitors machine learning models in production using Databricks Model Registry, Jobs, and Workspace
- Frequently collaborates with data engineers, DevOps/platform engineers, data scientists, and domain experts as part of a comprehensive MLOps framework to ensure AI/ML solutions are performant, reliable, and maintainable
- Works frequently with application development teams to ensure seamless integrations
- Works proficiently with various ML frameworks, such as scikit-learn, TensorFlow, PyTorch, Keras, as well as distributed frameworks like Spark MLlib and Ray
- Performs data analysis, feature engineering, model selection, hyperparameter optimization, and model evaluation using Databricks MLFlow, Delta Lake, and SQL Analytics and other tools as part of the end-to-end ML lifecycle 
- Researches and implements new machine learning techniques and methods using Databricks, staying abreast of the latest trends and technologies
- Documents and communicates machine learning results and insights to stakeholders using Databricks notebooks and dashboards 
- Understands IT security policies and implements them as part of new solution designs 
- Follows and promotes the best practices and standards for machine learning and MLOps across the organization using Databricks and Azure DevOps
Your Skills
- Solutions Delivery: End-to-end ownership of Azure data solutions—translating ambiguous business needs into robust architectural blueprints, then delivering through design, build, test, deployment, and post‑launch monitoring with a focus on reliability, performance, and cost efficiency.
- Cloud Computing: Designing and operating cloud‑native architectures on Azure (e.g., Databricks Lakehouse, ADF/Workflows, Functions, Logic Apps, Azure SQL) with CI/CD and IaC to scale securely and economically for ML, BI, streaming, and web applications.
- Integration Services: Building secure, high‑throughput integrations—REST APIs and event/stream pipelines (e.g., Event Hubs/Kafka)—to connect polyglot data stores (SQL Server, Cosmos DB, Neo4j) and enable real‑time and batch data products.
- Security Awareness: Embedding governance, identity, and compliance into the architecture (OAuth/RBAC, data governance, re‑authorization/ownership verification), enforcing code reviews and automated controls across pipelines and deployments.
- Strategic Planning: Aligning platform roadmaps and technology choices with enterprise strategy, mentoring engineers on best practices, defining standards and KPIs, and prioritizing modernization and cost‑optimization initiatives that maximize business impact.
Qualifications
- A minimum of a Bachelor's degree, or 8 years relevant experience, or relevant military experience at an E6 rank/Petty Officer 2nd Class or higher is required  
- A minimum of 3 years of experience developing solutions in machine learning, data science, or related field
- A minimum requirement for this U.S. based position is the ability to work legally in the United States. No visa sponsorship/support is available for this position, including for any type of U.S. permanent residency (green card) process
Preferred Qualifications
- A degree in computer science, engineering, mathematics, statistics, data science or related field
- Proficient in Python and one or more machine learning frameworks such as TensorFlow, PyTorch, Scikit-learn, etc
- Experience in developing and deploying machine learning models and pipelines on the Databricks platform using Databricks MLflow, Delta Lake, SQL Analytics, Model Registry, Jobs, and Workspace
- Strong knowledge of machine learning concepts, techniques, and algorithms 
- Ability to perform data analysis, feature engineering, model selection, optimization, and evaluation using Databricks
- Ability to communicate complex machine learning concepts and results to technical and non-technical audiences using Databricks notebooks and dashboards
- Ability to work independently and collaboratively in a fast-paced and dynamic environment 
- Curiosity and passion for learning new machine learning skills and technologies using Databricks
- Strong knowledge of data modeling, data warehousing, and ETL processes 
- Experience designing and deploying into production both traditional and generative AI systems
- Proficiency in SQL and experience with big data technologies such as Apache Spark and Hive
- Experience working within Azure Machine Learning 
- Experience containerizing and deploying ML models to Azure Kubernetes Service 
- Experience with Azure Data Factory, Azure Data Lake Storage Gen2, and other Azure services
- Multi-application and cross-platform design experience  
- Understanding of data lakehouse platform design and associated workflows 
- Ability to thrive in challenging situations and solve complex problems 
- Ability to manage own work effort in multiple projects with little supervision  
- Interested in emerging technologies with the ability to quickly learn and exploit cutting edge offerings to achieve business objectives
Additional Notes
- This position does not offer relocation assistance   
- This position does not have people leadership responsibility. This position is an Independent Contributor; however, you may act as coach and mentor to junior resources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x:v>
      </x:c>
      <x:c r="AC91" s="68" t="str">
        <x:v>Not Applicable</x:v>
      </x:c>
      <x:c r="AD91" s="68" t="str">
        <x:v>Full-time</x:v>
      </x:c>
      <x:c r="AE91" s="68" t="str">
        <x:v>Engineering and Information Technology</x:v>
      </x:c>
      <x:c r="AF91" s="68" t="str">
        <x:v>Chemical Manufacturing, Industrial Machinery Manufacturing, and Research Services</x:v>
      </x:c>
      <x:c r="AG91" s="68" t="str">
        <x:v>https://www.linkedin.com/jobs/search/?position=1&amp;pageNum=0&amp;keywords=AI+Engineer&amp;location=United+States&amp;distance=0&amp;f_TPR=r604800</x:v>
      </x:c>
      <x:c r="AH91" s="68" t="str">
        <x:v>{'type': 'PostalAddress', 'streetAddress': '2211 H.H. Dow Way', 'addressLocality': 'Midland', 'addressRegion': 'Michigan', 'postalCode': '48674', 'addressCountry': 'US'}</x:v>
      </x:c>
      <x:c r="AI91" s="68" t="str">
        <x:v>http://www.dow.com</x:v>
      </x:c>
      <x:c r="AJ91" s="68" t="str">
        <x:v> A leading materials science company, serving customers in high-growth markets around the world. #SeekTogether</x:v>
      </x:c>
      <x:c r="AK91" s="68"/>
      <x:c r="AL91" s="68"/>
      <x:c r="AM91" s="68"/>
      <x:c r="AN91" s="68"/>
      <x:c r="AO91" s="68"/>
      <x:c r="AP91" s="68"/>
    </x:row>
    <x:row r="92" s="25" customFormat="1" ht="22" customHeight="1">
      <x:c r="A92" s="68" t="str">
        <x:v>4439250387</x:v>
      </x:c>
      <x:c r="B92" s="68" t="str">
        <x:v>Ai Engineer</x:v>
      </x:c>
      <x:c r="C92" s="68" t="str">
        <x:v>Johnson Controls</x:v>
      </x:c>
      <x:c r="D92" s="68" t="str">
        <x:v>Milwaukee, WI</x:v>
      </x:c>
      <x:c r="E92" s="68" t="str">
        <x:v>Failed</x:v>
      </x:c>
      <x:c r="F92" s="68"/>
      <x:c r="G92" s="69"/>
      <x:c r="H92" s="85" t="str">
        <x:v>2026-08-08</x:v>
      </x:c>
      <x:c r="I92" s="85"/>
      <x:c r="J92" s="68" t="str">
        <x:v>200</x:v>
      </x:c>
      <x:c r="K92" s="70" t="str">
        <x:v>$85,000.00/yr - $110,000.00/yr</x:v>
      </x:c>
      <x:c r="L92" s="86"/>
      <x:c r="M92" s="87"/>
      <x:c r="N92" s="71"/>
      <x:c r="O92" s="88"/>
      <x:c r="P92" s="89"/>
      <x:c r="Q92" s="89"/>
      <x:c r="R92" s="89"/>
      <x:c r="S92" s="73"/>
      <x:c r="T92" s="68"/>
      <x:c r="U92" s="68" t="str">
        <x:v>https://www.linkedin.com/jobs/view/ai-engineer-at-johnson-controls-4439250387?position=6&amp;pageNum=7&amp;refId=amLXhiv5GwroBfdUvvGxcA%3D%3D&amp;trackingId=OnyNsW7iwUkqhUXnMzLzfg%3D%3D</x:v>
      </x:c>
      <x:c r="V92" s="68" t="str">
        <x:v>OnyNsW7iwUkqhUXnMzLzfg==</x:v>
      </x:c>
      <x:c r="W92" s="68" t="str">
        <x:v>amLXhiv5GwroBfdUvvGxcA==</x:v>
      </x:c>
      <x:c r="X92" s="68" t="str">
        <x:v>https://ie.linkedin.com/company/johnson-controls?trk=public_jobs_jserp-result_job-search-card-subtitle</x:v>
      </x:c>
      <x:c r="Y92" s="68" t="str">
        <x:v>https://media.licdn.com/dms/image/v2/D560BAQFLnizgdgpDFA/company-logo_100_100/company-logo_100_100/0/1728672007366/johnson_controls_logo?e=2147483647&amp;v=beta&amp;t=2M4dlywu0qlZ8x6OXlndDbP0lKGE0lrUOcbNVuWvcMs</x:v>
      </x:c>
      <x:c r="Z92" s="68"/>
      <x:c r="AA92" s="68" t="str">
        <x:v>&lt;strong&gt;Job Description&lt;br&gt;&lt;br&gt;&lt;/strong&gt;&lt;strong&gt;Build your best future with the Johnson Controls team&lt;br&gt;&lt;br&gt;&lt;/strong&gt;Johnson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education.&lt;br&gt;&lt;br&gt;For more than 140 years, Johnson Controls has delivered performance where it really matters. Backed by advanced technology, lifecycle services and an industry-leading field organization, we elevate customer performance, turn goals into real-world results and help move society forward.&lt;br&gt;&lt;br&gt;&lt;strong&gt;What We Offer&lt;br&gt;&lt;br&gt;&lt;/strong&gt;&lt;ul&gt;&lt;li&gt;Competitive salary &lt;/li&gt;&lt;li&gt;Paid vacation/holidays/sick time &lt;/li&gt;&lt;li&gt;Comprehensive benefits package including 401K, medical, dental, and vision care &lt;/li&gt;&lt;li&gt;On the job/cross training opportunities &lt;/li&gt;&lt;li&gt;Encouraging and collaborative team environment &lt;/li&gt;&lt;li&gt;Dedication to safety through our Zero Harm policy&lt;br&gt;&lt;br&gt;&lt;/li&gt;&lt;/ul&gt;Johnson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software.&lt;br&gt;&lt;br&gt;As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value.&lt;br&gt;&lt;br&gt;&lt;strong&gt;How You Will Do It&lt;br&gt;&lt;br&gt;&lt;/strong&gt;Generative AI Systems &amp;amp; Applications&lt;br&gt;&lt;br&gt;&lt;ul&gt;&lt;li&gt;Develop and deploy Generative AI systems and LLM-powered applications (e.g., GPT, Claude, LLaMA) for use cases such as enterprise search, document summarization, and conversational AI. &lt;/li&gt;&lt;li&gt;Apply prompt engineering, fine-tuning, and orchestration techniques to adapt foundation models for domain-specific applications. &lt;/li&gt;&lt;li&gt;Build agentic workflows and task-specific AI agents—using Palantir AIP or the Microsoft Agent Framework—that orchestrate tools, retrieval, and reasoning. &lt;/li&gt;&lt;li&gt;Evaluate and improve model outputs for accuracy, relevance, latency, and cost, applying data science techniques to measure and validate performance. &lt;br&gt;&lt;br&gt;&lt;/li&gt;&lt;/ul&gt;Data, ML &amp;amp; Software Engineering&lt;br&gt;&lt;br&gt;&lt;ul&gt;&lt;li&gt;Build and maintain the data pipelines that feed AI systems—ingestion, transformation, and ETL across structured and unstructured sources (e.g., Snowflake, Azure). &lt;/li&gt;&lt;li&gt;Develop and operate ML pipelines and MLOps workflows—training, evaluation, deployment, and monitoring—using CI/CD, containerization (Docker), and model serving. &lt;/li&gt;&lt;li&gt;Build reusable components, services, and APIs around AI models that help the team ship features faster. &lt;/li&gt;&lt;li&gt;Implement retrieval and embedding workflows (RAG, vector databases) for scalable, accurate knowledge retrieval. &lt;/li&gt;&lt;li&gt;Apply software engineering best practices—testing, version control, and code review—across your projects. &lt;br&gt;&lt;br&gt;&lt;/li&gt;&lt;/ul&gt;Business Impact &amp;amp; Stakeholder Communication&lt;br&gt;&lt;br&gt;&lt;ul&gt;&lt;li&gt;Partner with cross-functional stakeholders to translate business challenges into AI solutions. &lt;/li&gt;&lt;li&gt;Support workshops and proofs-of-concept that demonstrate the value of LLM and agent use cases across business units. &lt;/li&gt;&lt;li&gt;Translate model outputs, data findings, and technical tradeoffs into clear insights for non-technical audiences. &lt;br&gt;&lt;br&gt;&lt;/li&gt;&lt;/ul&gt;Mentorship &amp;amp; Collaboration&lt;br&gt;&lt;br&gt;&lt;ul&gt;&lt;li&gt;Guide junior engineers on specific technical problems and code quality. &lt;/li&gt;&lt;li&gt;Contribute to design discussions and technical decisions within the team. &lt;/li&gt;&lt;li&gt;Share knowledge and help raise the bar on engineering and data science practices. &lt;br&gt;&lt;br&gt;&lt;/li&gt;&lt;/ul&gt;&lt;strong&gt;Qualifications &amp;amp; Experience&lt;br&gt;&lt;br&gt;&lt;/strong&gt;&lt;ul&gt;&lt;li&gt;Education in Computer Science, Software Engineering, Data Engineering, Data Science, or a related technical or quantitative discipline. &lt;/li&gt;&lt;li&gt;2–5 years of experience in software, data, ML engineering, or data science, including hands-on work with LLMs or generative AI. &lt;/li&gt;&lt;li&gt;Demonstrated success delivering data or ML pipelines and AI/ML solutions to production. &lt;/li&gt;&lt;li&gt;Experience with data science fundamentals—exploratory analysis, statistical modeling, or classic ML (classification, regression, forecasting). &lt;/li&gt;&lt;li&gt;Experience with cloud AI platforms such as Azure OpenAI/Azure ML, AWS SageMaker/Bedrock, or Google Cloud Vertex AI. &lt;br&gt;&lt;br&gt;&lt;/li&gt;&lt;/ul&gt;&lt;strong&gt;Technical Expertise&lt;br&gt;&lt;br&gt;&lt;/strong&gt;&lt;ul&gt;&lt;li&gt;Strong proficiency in Python and SQL, with good software engineering habits—testing, version control, and clean code. &lt;/li&gt;&lt;li&gt;Hands-on experience with the Generative AI stack: prompt engineering, fine-tuning (e.g., LoRA), LLM orchestration, and agent frameworks (LangChain, Semantic Kernel, Microsoft Agent Framework). &lt;/li&gt;&lt;li&gt;Experience building ETL and ML pipelines and applying MLOps practices (CI/CD, Docker, model serving). &lt;/li&gt;&lt;li&gt;Familiarity with data science libraries and workflows—pandas, scikit-learn, and model evaluation and experimentation. &lt;/li&gt;&lt;li&gt;Experience with JCI's stack—or comparable platforms—including Palantir AIP, Azure ML, Microsoft Agent Framework, Power Automate, and Snowflake. &lt;/li&gt;&lt;li&gt;Working knowledge of embeddings, vector databases, and retrieval systems. &lt;br&gt;&lt;br&gt;&lt;/li&gt;&lt;/ul&gt;&lt;strong&gt;Soft Skills&lt;br&gt;&lt;br&gt;&lt;/strong&gt;&lt;ul&gt;&lt;li&gt;Ability to own projects and communicate progress, risks, and tradeoffs clearly. &lt;/li&gt;&lt;li&gt;Strong collaboration skills across product, engineering, and business teams. &lt;/li&gt;&lt;li&gt;Comfortable presenting technical and analytical work to both technical and non-technical stakeholders. &lt;/li&gt;&lt;li&gt;Self-directed problem solver who manages priorities independently. &lt;br&gt;&lt;br&gt;&lt;/li&gt;&lt;/ul&gt;&lt;strong&gt;Preferred Qualifications&lt;br&gt;&lt;br&gt;&lt;/strong&gt;&lt;ul&gt;&lt;li&gt;Experience with IoT, edge analytics, or smart building systems. &lt;/li&gt;&lt;li&gt;Familiarity with LLMOps, LangChain, Semantic Kernel, or similar orchestration frameworks. &lt;/li&gt;&lt;li&gt;Data science depth—statistical modeling, experimentation, or deep learning (forecasting, computer vision, or NLP). &lt;/li&gt;&lt;li&gt;Experience with the Microsoft ecosystem (Microsoft 365 Copilot, SharePoint, Power Platform, Snowflake). &lt;/li&gt;&lt;li&gt;Knowledge of data privacy and governance considerations for enterprise LLM usage. &lt;br&gt;&lt;br&gt;&lt;/li&gt;&lt;/ul&gt;&lt;strong&gt;Additional Information&lt;br&gt;&lt;br&gt;&lt;/strong&gt;&lt;strong&gt;Work Location &amp;amp; Arrangement: &lt;/strong&gt;Glendale, WI, hybrid&lt;br&gt;&lt;br&gt;&lt;strong&gt;Sponsorship: &lt;/strong&gt;Johnson Controls will not sponsor applicants for work visas or provide immigration-related employment sponsorship for this position, now or in the future.&lt;br&gt;&lt;br&gt;&lt;strong&gt;HIRING SALARY RANGE&lt;/strong&gt;: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x:v>
      </x:c>
      <x:c r="AB92" s="68" t="str">
        <x:v>Job Description
Build your best future with the Johnson Controls team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
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
How You Will Do It
Generative AI Systems &amp;amp; Applications
- Develop and deploy Generative AI systems and LLM-powered applications (e.g., GPT, Claude, LLaMA) for use cases such as enterprise search, document summarization, and conversational AI. 
- Apply prompt engineering, fine-tuning, and orchestration techniques to adapt foundation models for domain-specific applications. 
- Build agentic workflows and task-specific AI agents—using Palantir AIP or the Microsoft Agent Framework—that orchestrate tools, retrieval, and reasoning. 
- Evaluate and improve model outputs for accuracy, relevance, latency, and cost, applying data science techniques to measure and validate performance. 
Data, ML &amp;amp; Software Engineering
- Build and maintain the data pipelines that feed AI systems—ingestion, transformation, and ETL across structured and unstructured sources (e.g., Snowflake, Azure). 
- Develop and operate ML pipelines and MLOps workflows—training, evaluation, deployment, and monitoring—using CI/CD, containerization (Docker), and model serving. 
- Build reusable components, services, and APIs around AI models that help the team ship features faster. 
- Implement retrieval and embedding workflows (RAG, vector databases) for scalable, accurate knowledge retrieval. 
- Apply software engineering best practices—testing, version control, and code review—across your projects. 
Business Impact &amp;amp; Stakeholder Communication
- Partner with cross-functional stakeholders to translate business challenges into AI solutions. 
- Support workshops and proofs-of-concept that demonstrate the value of LLM and agent use cases across business units. 
- Translate model outputs, data findings, and technical tradeoffs into clear insights for non-technical audiences. 
Mentorship &amp;amp; Collaboration
- Guide junior engineers on specific technical problems and code quality. 
- Contribute to design discussions and technical decisions within the team. 
- Share knowledge and help raise the bar on engineering and data science practices. 
Qualifications &amp;amp; Experience
- Education in Computer Science, Software Engineering, Data Engineering, Data Science, or a related technical or quantitative discipline. 
- 2–5 years of experience in software, data, ML engineering, or data science, including hands-on work with LLMs or generative AI. 
- Demonstrated success delivering data or ML pipelines and AI/ML solutions to production. 
- Experience with data science fundamentals—exploratory analysis, statistical modeling, or classic ML (classification, regression, forecasting). 
- Experience with cloud AI platforms such as Azure OpenAI/Azure ML, AWS SageMaker/Bedrock, or Google Cloud Vertex AI. 
Technical Expertise
- Strong proficiency in Python and SQL, with good software engineering habits—testing, version control, and clean code. 
- Hands-on experience with the Generative AI stack: prompt engineering, fine-tuning (e.g., LoRA), LLM orchestration, and agent frameworks (LangChain, Semantic Kernel, Microsoft Agent Framework). 
- Experience building ETL and ML pipelines and applying MLOps practices (CI/CD, Docker, model serving). 
- Familiarity with data science libraries and workflows—pandas, scikit-learn, and model evaluation and experimentation. 
- Experience with JCI's stack—or comparable platforms—including Palantir AIP, Azure ML, Microsoft Agent Framework, Power Automate, and Snowflake. 
- Working knowledge of embeddings, vector databases, and retrieval systems. 
Soft Skills
- Ability to own projects and communicate progress, risks, and tradeoffs clearly. 
- Strong collaboration skills across product, engineering, and business teams. 
- Comfortable presenting technical and analytical work to both technical and non-technical stakeholders. 
- Self-directed problem solver who manages priorities independently. 
Preferred Qualifications
- Experience with IoT, edge analytics, or smart building systems. 
- Familiarity with LLMOps, LangChain, Semantic Kernel, or similar orchestration frameworks. 
- Data science depth—statistical modeling, experimentation, or deep learning (forecasting, computer vision, or NLP). 
- Experience with the Microsoft ecosystem (Microsoft 365 Copilot, SharePoint, Power Platform, Snowflake). 
- Knowledge of data privacy and governance considerations for enterprise LLM usage. 
Additional Information
Work Location &amp;amp; Arrangement: Glendale, WI, hybrid
Sponsorship: Johnson Controls will not sponsor applicants for work visas or provide immigration-related employment sponsorship for this position, now or in the future.
HIRING SALARY RANGE: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x:v>
      </x:c>
      <x:c r="AC92" s="68" t="str">
        <x:v>Not Applicable</x:v>
      </x:c>
      <x:c r="AD92" s="68" t="str">
        <x:v>Full-time</x:v>
      </x:c>
      <x:c r="AE92" s="68" t="str">
        <x:v>Engineering and Information Technology</x:v>
      </x:c>
      <x:c r="AF92" s="68" t="str">
        <x:v>Industrial Machinery Manufacturing</x:v>
      </x:c>
      <x:c r="AG92" s="68" t="str">
        <x:v>https://www.linkedin.com/jobs/search/?position=1&amp;pageNum=0&amp;keywords=AI+Engineer&amp;location=United+States&amp;distance=0&amp;f_TPR=r604800</x:v>
      </x:c>
      <x:c r="AH92" s="68" t="str">
        <x:v>{'type': 'PostalAddress', 'streetAddress': 'Milwaukee', 'addressLocality': 'Cork', 'addressRegion': 'Ireland', 'postalCode': 'T12 X8N6', 'addressCountry': 'IE'}</x:v>
      </x:c>
      <x:c r="AI92" s="68" t="str">
        <x:v>http://www.johnsoncontrols.com</x:v>
      </x:c>
      <x:c r="AJ92" s="68"/>
      <x:c r="AK92" s="68"/>
      <x:c r="AL92" s="68"/>
      <x:c r="AM92" s="68"/>
      <x:c r="AN92" s="68"/>
      <x:c r="AO92" s="68"/>
      <x:c r="AP92" s="68"/>
    </x:row>
    <x:row r="93" s="25" customFormat="1" ht="22" customHeight="1">
      <x:c r="A93" s="68" t="str">
        <x:v>4422826143</x:v>
      </x:c>
      <x:c r="B93" s="68" t="str">
        <x:v>AI Engineer</x:v>
      </x:c>
      <x:c r="C93" s="68" t="str">
        <x:v>RA Capital Management</x:v>
      </x:c>
      <x:c r="D93" s="68" t="str">
        <x:v>Boston, MA</x:v>
      </x:c>
      <x:c r="E93" s="68" t="str">
        <x:v>Applied</x:v>
      </x:c>
      <x:c r="F93" s="68"/>
      <x:c r="G93" s="69"/>
      <x:c r="H93" s="85" t="str">
        <x:v>2026-08-10</x:v>
      </x:c>
      <x:c r="I93" s="85"/>
      <x:c r="J93" s="68" t="str">
        <x:v>200</x:v>
      </x:c>
      <x:c r="K93" s="70"/>
      <x:c r="L93" s="86"/>
      <x:c r="M93" s="87"/>
      <x:c r="N93" s="71"/>
      <x:c r="O93" s="88"/>
      <x:c r="P93" s="89"/>
      <x:c r="Q93" s="89"/>
      <x:c r="R93" s="89"/>
      <x:c r="S93" s="73"/>
      <x:c r="T93" s="68"/>
      <x:c r="U93" s="68" t="str">
        <x:v>https://www.linkedin.com/jobs/view/ai-engineer-at-ra-capital-management-4422826143?position=10&amp;pageNum=7&amp;refId=amLXhiv5GwroBfdUvvGxcA%3D%3D&amp;trackingId=c0iBXVzwv9sASHjeMP5vxw%3D%3D</x:v>
      </x:c>
      <x:c r="V93" s="68" t="str">
        <x:v>c0iBXVzwv9sASHjeMP5vxw==</x:v>
      </x:c>
      <x:c r="W93" s="68" t="str">
        <x:v>amLXhiv5GwroBfdUvvGxcA==</x:v>
      </x:c>
      <x:c r="X93" s="68" t="str">
        <x:v>https://www.linkedin.com/company/ra-capital-management-llc?trk=public_jobs_jserp-result_job-search-card-subtitle</x:v>
      </x:c>
      <x:c r="Y93" s="68" t="str">
        <x:v>https://media.licdn.com/dms/image/v2/D560BAQEG4jnbt1oHzQ/company-logo_100_100/B56Z8e_Wj9IgAM-/0/1782931351998/ra_capital_management_llc_logo?e=2147483647&amp;v=beta&amp;t=ffWVE_JhYFAiItLFL9jasAcl8xXQPG56kQkNPW08H00</x:v>
      </x:c>
      <x:c r="Z93" s="68"/>
      <x:c r="AA93" s="68" t="str">
        <x:v>Imagine if you had the skills, knowledge, and teammates to both understand the root of the world’s most pressing problems and build the technologies and companies best positioned to solve them. &lt;strong&gt;RA Capital&lt;/strong&gt; has done exactly that for more than two decades, backing bold ideas in medicines to further human health and now expanding into Planetary Health to improve how efficiently we utilize the world’s precious resources.&lt;br&gt;&lt;br&gt;RA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people.&lt;br&gt;&lt;br&gt;If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boring.&lt;br&gt;&lt;br&gt;Are you ready to bring your creativity, discipline and collaborative spirit to help us invent the future? Join us and you’ll collaborate daily with investors, founders, physicians, biologists, engineers, economists, and reform advocates who think in systems and act with urgency.&lt;br&gt;&lt;br&gt;Join us to invent a happier, healthier, more productive future - and have fun doing it.&lt;br&gt;&lt;br&gt;&lt;strong&gt;Role Overview&lt;br&gt;&lt;br&gt;&lt;/strong&gt;As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analysis.&lt;br&gt;&lt;br&gt;&lt;strong&gt;Key Responsibilities&lt;br&gt;&lt;br&gt;&lt;/strong&gt;&lt;ul&gt;&lt;li&gt;Design and develop end-to-end AI applications, from concept through deployment&lt;/li&gt;&lt;li&gt;Create and optimize deep learning models for diverse data types (time-series, business data, images) and prediction tasks&lt;/li&gt;&lt;li&gt;Build and enhance large language models trained on proprietary research data&lt;/li&gt;&lt;li&gt;Implement real-time prediction systems operating on various timescales (millisecond to daily)&lt;/li&gt;&lt;li&gt;Develop full-stack AI applications with both frontend and backend components&lt;/li&gt;&lt;li&gt;Optimize model performance and solve complex multi-layered data challenges&lt;br&gt;&lt;br&gt;&lt;/li&gt;&lt;/ul&gt;&lt;strong&gt;Academic &amp;amp; Experience Requirements&lt;br&gt;&lt;br&gt;&lt;/strong&gt;&lt;ul&gt;&lt;li&gt;Master's in a Computer Science – AI and Machine Learning field required; Bachelors Degree with equivalent experience&lt;/li&gt;&lt;li&gt;Extensive academic or professional background in Computer Science with AI specialization&lt;/li&gt;&lt;li&gt;2-3 years of professional software engineering experience&lt;/li&gt;&lt;li&gt;Healthcare and/or finance industry experience strongly preferred&lt;br&gt;&lt;br&gt;&lt;/li&gt;&lt;/ul&gt;&lt;strong&gt;Technical Requirements&lt;br&gt;&lt;br&gt;&lt;/strong&gt;&lt;ul&gt;&lt;li&gt;Expert-level Python programming skills&lt;/li&gt;&lt;li&gt;Strong proficiency in JavaScript and Java&lt;/li&gt;&lt;li&gt;Deep understanding of machine learning fundamentals (regression, classification, clustering)&lt;/li&gt;&lt;li&gt;Extensive knowledge of neural networks and deep learning frameworks (PyTorch)&lt;/li&gt;&lt;li&gt;Proven expertise with AWS AI platforms (SageMaker, Bedrock)&lt;/li&gt;&lt;li&gt;Experience with containerization and orchestration (ECS, Kubernetes)&lt;/li&gt;&lt;li&gt;Strong foundation in algorithms and data structures&lt;/li&gt;&lt;li&gt;Strong proficiency with the latest agentic coding techniques using tools like Claude Code or Codex. &lt;/li&gt;&lt;li&gt;Professional experience with building advanced AI workflows, MCPs, agent swarms etc…&lt;br&gt;&lt;br&gt;&lt;/li&gt;&lt;/ul&gt;&lt;strong&gt;Additional Requirements&lt;br&gt;&lt;br&gt;&lt;/strong&gt;&lt;ul&gt;&lt;li&gt;Excellent English communication skills for collaboration with team members and stakeholders&lt;/li&gt;&lt;li&gt;Strong problem-solving abilities and investigative mindset&lt;/li&gt;&lt;li&gt;Experience with full AI/ML development lifecycle&lt;/li&gt;&lt;li&gt;Ability to work in a collaborative, mentorship-driven environment&lt;/li&gt;&lt;li&gt;Ability to work in a hybrid environment in our local Boston office&lt;br&gt;&lt;br&gt;&lt;/li&gt;&lt;/ul&gt;&lt;strong&gt;What Makes This Role Unique&lt;br&gt;&lt;br&gt;&lt;/strong&gt;You'll be working with extensive proprietary datasets and building systems that directly impact investment decisions in breakthrough medical and climate technologies. Success in this role means creating AI systems that help fund innovations that can extend and improve human lives.&lt;br&gt;&lt;br&gt;&lt;strong&gt;Compensation&lt;br&gt;&lt;br&gt;&lt;/strong&gt;RA Capital Management is committed to fair and equitable compensation practices. Pay for this position will be based on experience, skills, qualifications, and current market conditions.&lt;br&gt;&lt;br&gt;In addition to base salary (listed below), employees may be eligible for performance-based bonuses and a comprehensive benefits package that includes health insurance, retirement contributions, and paid time off.&lt;br&gt;&lt;br&gt;Total Rewards&lt;br&gt;&lt;br&gt;&lt;strong&gt;Benefits&lt;br&gt;&lt;br&gt;&lt;/strong&gt;We take pride in offering a comprehensive employee benefits program as a key part of overall compensation. Our Total Rewards include:&lt;br&gt;&lt;br&gt;&lt;ul&gt;&lt;li&gt;Employer-paid monthly premiums for health, dental, and vision coverage &lt;/li&gt;&lt;li&gt;Wellness benefits and programs to support physical and mental well-being &lt;/li&gt;&lt;li&gt;Resources and perks that enhance work-life balance and financial security &lt;br&gt;&lt;br&gt;&lt;/li&gt;&lt;/ul&gt;We’re dedicated to helping our employees thrive professionally and personally.&lt;br&gt;&lt;br&gt;Massachusetts base pay range&lt;br&gt;&lt;br&gt;$120,000 - $180,000 USD&lt;br&gt;&lt;br&gt;&lt;em&gt;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assistance.&lt;/em&gt;</x:v>
      </x:c>
      <x:c r="AB93" s="68" t="str">
        <x:v>Imagine if you had the skills, knowledge, and teammates to both understand the root of the world’s most pressing problems and build the technologies and companies best positioned to solve them. RA Capital has done exactly that for more than two decades, backing bold ideas in medicines to further human health and now expanding into Planetary Health to improve how efficiently we utilize the world’s precious resources.
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
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
Are you ready to bring your creativity, discipline and collaborative spirit to help us invent the future? Join us and you’ll collaborate daily with investors, founders, physicians, biologists, engineers, economists, and reform advocates who think in systems and act with urgency.
Join us to invent a happier, healthier, more productive future - and have fun doing it.
Role Overview
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
Key Responsibilities
- Design and develop end-to-end AI applications, from concept through deployment
- Create and optimize deep learning models for diverse data types (time-series, business data, images) and prediction tasks
- Build and enhance large language models trained on proprietary research data
- Implement real-time prediction systems operating on various timescales (millisecond to daily)
- Develop full-stack AI applications with both frontend and backend components
- Optimize model performance and solve complex multi-layered data challenges
Academic &amp;amp; Experience Requirements
- Master's in a Computer Science – AI and Machine Learning field required; Bachelors Degree with equivalent experience
- Extensive academic or professional background in Computer Science with AI specialization
- 2-3 years of professional software engineering experience
- Healthcare and/or finance industry experience strongly preferred
Technical Requirements
- Expert-level Python programming skills
- Strong proficiency in JavaScript and Java
- Deep understanding of machine learning fundamentals (regression, classification, clustering)
- Extensive knowledge of neural networks and deep learning frameworks (PyTorch)
- Proven expertise with AWS AI platforms (SageMaker, Bedrock)
- Experience with containerization and orchestration (ECS, Kubernetes)
- Strong foundation in algorithms and data structures
- Strong proficiency with the latest agentic coding techniques using tools like Claude Code or Codex. 
- Professional experience with building advanced AI workflows, MCPs, agent swarms etc…
Additional Requirements
- Excellent English communication skills for collaboration with team members and stakeholders
- Strong problem-solving abilities and investigative mindset
- Experience with full AI/ML development lifecycle
- Ability to work in a collaborative, mentorship-driven environment
- Ability to work in a hybrid environment in our local Boston office
What Makes This Role Unique
You'll be working with extensive proprietary datasets and building systems that directly impact investment decisions in breakthrough medical and climate technologies. Success in this role means creating AI systems that help fund innovations that can extend and improve human lives.
Compensation
RA Capital Management is committed to fair and equitable compensation practices. Pay for this position will be based on experience, skills, qualifications, and current market conditions.
In addition to base salary (listed below), employees may be eligible for performance-based bonuses and a comprehensive benefits package that includes health insurance, retirement contributions, and paid time off.
Total Rewards
Benefits
We take pride in offering a comprehensive employee benefits program as a key part of overall compensation. Our Total Rewards include:
- Employer-paid monthly premiums for health, dental, and vision coverage 
- Wellness benefits and programs to support physical and mental well-being 
- Resources and perks that enhance work-life balance and financial security 
We’re dedicated to helping our employees thrive professionally and personally.
Massachusetts base pay range
$120,000 - $180,000 USD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x:v>
      </x:c>
      <x:c r="AC93" s="68" t="str">
        <x:v>Not Applicable</x:v>
      </x:c>
      <x:c r="AD93" s="68" t="str">
        <x:v>Full-time</x:v>
      </x:c>
      <x:c r="AE93" s="68" t="str">
        <x:v>Engineering and Information Technology</x:v>
      </x:c>
      <x:c r="AF93" s="68" t="str">
        <x:v>Investment Management</x:v>
      </x:c>
      <x:c r="AG93" s="68" t="str">
        <x:v>https://www.linkedin.com/jobs/search/?position=1&amp;pageNum=0&amp;keywords=AI+Engineer&amp;location=United+States&amp;distance=0&amp;f_TPR=r604800</x:v>
      </x:c>
      <x:c r="AH93" s="68" t="str">
        <x:v>{'type': 'PostalAddress', 'streetAddress': '200 Berkeley Street', 'addressLocality': 'Boston', 'addressRegion': 'MA', 'postalCode': '02116', 'addressCountry': 'US'}</x:v>
      </x:c>
      <x:c r="AI93" s="68" t="str">
        <x:v>http://www.racap.com</x:v>
      </x:c>
      <x:c r="AJ93" s="68"/>
      <x:c r="AK93" s="68"/>
      <x:c r="AL93" s="68"/>
      <x:c r="AM93" s="68"/>
      <x:c r="AN93" s="68"/>
      <x:c r="AO93" s="68"/>
      <x:c r="AP93" s="68"/>
    </x:row>
    <x:row r="94" s="25" customFormat="1" ht="22" customHeight="1">
      <x:c r="A94" s="68" t="str">
        <x:v>4451588505</x:v>
      </x:c>
      <x:c r="B94" s="68" t="str">
        <x:v>Agentic AI Engineer</x:v>
      </x:c>
      <x:c r="C94" s="68" t="str">
        <x:v>Capgemini</x:v>
      </x:c>
      <x:c r="D94" s="68" t="str">
        <x:v>Nashville, TN</x:v>
      </x:c>
      <x:c r="E94" s="68" t="str">
        <x:v>In Progress</x:v>
      </x:c>
      <x:c r="F94" s="68"/>
      <x:c r="G94" s="69"/>
      <x:c r="H94" s="85" t="str">
        <x:v>2026-08-10</x:v>
      </x:c>
      <x:c r="I94" s="85"/>
      <x:c r="J94" s="68" t="str">
        <x:v>174</x:v>
      </x:c>
      <x:c r="K94" s="70"/>
      <x:c r="L94" s="86"/>
      <x:c r="M94" s="87"/>
      <x:c r="N94" s="71"/>
      <x:c r="O94" s="88"/>
      <x:c r="P94" s="89"/>
      <x:c r="Q94" s="89"/>
      <x:c r="R94" s="89"/>
      <x:c r="S94" s="73"/>
      <x:c r="T94" s="68"/>
      <x:c r="U94" s="68" t="str">
        <x:v>https://www.linkedin.com/jobs/view/agentic-ai-engineer-at-capgemini-4451588505?position=1&amp;pageNum=6&amp;refId=Ed5K7tZiMYMhtD9NVKS4Ew%3D%3D&amp;trackingId=rlJuPO4XqKDXIOgkubanzA%3D%3D</x:v>
      </x:c>
      <x:c r="V94" s="68" t="str">
        <x:v>rlJuPO4XqKDXIOgkubanzA==</x:v>
      </x:c>
      <x:c r="W94" s="68" t="str">
        <x:v>Ed5K7tZiMYMhtD9NVKS4Ew==</x:v>
      </x:c>
      <x:c r="X94" s="68" t="str">
        <x:v>https://fr.linkedin.com/company/capgemini?trk=public_jobs_jserp-result_job-search-card-subtitle</x:v>
      </x:c>
      <x:c r="Y94" s="68" t="str">
        <x:v>https://media.licdn.com/dms/image/v2/D4E0BAQHIL3HctxNfvg/company-logo_100_100/B4EZokv7VQIUAQ-/0/1761553135376/capgemini_logo?e=2147483647&amp;v=beta&amp;t=zG4Rnn4ZR9lwfNpFaLXXm6DKX3XwtS0cYTIC2dDtWfg</x:v>
      </x:c>
      <x:c r="Z94" s="68"/>
      <x:c r="AA94" s="68" t="str">
        <x:v>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world.&lt;br&gt;&lt;br&gt;Location&lt;br&gt;&lt;br&gt;This position is a Hybrid role based out of Chicago, Atlanta, Nashville, Dallas, New Jersey&lt;br&gt;&lt;br&gt;&lt;strong&gt;About The Job You're Considering&lt;br&gt;&lt;br&gt;&lt;/strong&gt;The Capgemini team offers extensive career opportunities and provides mentoring and coaching for teammates. This role is an experienced professional with a strong background in software developme&lt;br&gt;&lt;br&gt;Key Responsiblities&lt;br&gt;&lt;br&gt;&lt;ul&gt;&lt;li&gt;Build intelligent AI agents using Vertex AI Agent Builder and ADK to automate business processes.&lt;/li&gt;&lt;li&gt;Develop and manage multi-agent systems for end-to-end problem solving.&lt;/li&gt;&lt;li&gt;Integrate AI agents with enterprise data sources such as BigQuery and Cloud Spanner using MCP Toolbox.&lt;/li&gt;&lt;li&gt;Design and optimize AI/ML solutions on Vertex AI, including model training, tuning, deployment, and evaluation.&lt;/li&gt;&lt;li&gt;Build real-time and batch data pipelines using Dataflow and Vertex AI Endpoints.&lt;/li&gt;&lt;li&gt;Implement RAG and vector search solutions using BigQuery Vector Search or AlloyDB.&lt;br&gt;&lt;br&gt;&lt;/li&gt;&lt;/ul&gt;&lt;strong&gt;Required Skills&lt;br&gt;&lt;br&gt;&lt;/strong&gt;&lt;ul&gt;&lt;li&gt;Strong experience with Vertex AI, Agent Builder, Model Garden, and Vertex AI Pipelines.&lt;/li&gt;&lt;li&gt;Proficiency in Python, SQL (BigQuery), and data preprocessing techniques.&lt;/li&gt;&lt;li&gt;Hands-on experience with GCP, including BigQuery, Cloud Storage, Vertex AI Endpoints, and Cloud Spanner.&lt;/li&gt;&lt;li&gt;Knowledge of multi-agent systems, agentic architectures, and real-time processing.&lt;br&gt;&lt;br&gt;&lt;/li&gt;&lt;/ul&gt;&lt;strong&gt;Preferred Qualification&lt;br&gt;&lt;br&gt;&lt;/strong&gt;&lt;ul&gt;&lt;li&gt;Experience in Financial Services or Retail domains.&lt;/li&gt;&lt;li&gt;Familiarity with credit risk, forecasting, search/recommendation systems, and AI governance.&lt;/li&gt;&lt;li&gt;Knowledge of PII protection, data masking, and compliance standards.&lt;br&gt;&lt;br&gt;&lt;/li&gt;&lt;/ul&gt;The base compensation range for this role in the posted location is: $68,911 to $161,544&lt;br&gt;&lt;br&gt;Capgemini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law.&lt;br&gt;&lt;br&gt;The actual compensation offered to any candidate may fall outside of the posted range and will be determined based on multiple factors legally permitted in the applicable jurisdiction.&lt;br&gt;&lt;br&gt;These may include, but are not limited to: Geographic location, Education and qualifications, Certifications and licenses, Relevant experience and skills, Seniority and performance, Market and business consideration, Internal pay equity.&lt;br&gt;&lt;br&gt;It is not typical for candidates to be hired at or near the top of the posted compensation range.&lt;br&gt;&lt;br&gt;In addition to base salary, this role may be eligible for additional compensation such as variable incentives, bonuses, or commissions, depending on the position and applicable laws.&lt;br&gt;&lt;br&gt;&lt;strong&gt;Benefits&lt;br&gt;&lt;br&gt;&lt;/strong&gt;&lt;strong&gt;Capgemini offers a comprehensive, non-negotiable benefits package to all regular, full-time employees.&lt;/strong&gt; In the U.S. and Canada, available benefits are determined by local policy and eligibility and may include:&lt;br&gt;&lt;br&gt;&lt;ul&gt;&lt;li&gt;Paid time off based on employee grade (A-F), defined by policy: Vacation: 12-25 days, depending on grade, Company paid holidays, Personal Days, Sick Leave&lt;/li&gt;&lt;li&gt;Medical, dental, and vision coverage (or provincial healthcare coordination in Canada)&lt;/li&gt;&lt;li&gt;Retirement savings plans (e.g., 401(k) in the U.S., RRSP in Canada)&lt;/li&gt;&lt;li&gt;Life and disability insurance&lt;/li&gt;&lt;li&gt;Employee assistance programs&lt;/li&gt;&lt;li&gt;Other benefits as provided by local policy and eligibility&lt;br&gt;&lt;br&gt;&lt;/li&gt;&lt;/ul&gt;&lt;strong&gt;Important Notice:&lt;/strong&gt;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legislation.&lt;br&gt;&lt;br&gt;&lt;strong&gt;Disclaimers&lt;br&gt;&lt;br&gt;&lt;/strong&gt;Capgemini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law.&lt;br&gt;&lt;br&gt;This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contact.&lt;br&gt;&lt;br&gt;Please be aware that Capgemini may capture your image (video or screenshot) during the interview process and that image may be used for verification, including during the hiring and onboarding process.&lt;br&gt;&lt;br&gt;Click the following link for more information on your rights as an Applicant in the United States. http://www.capgemini.com/resources/equal-employment-opportunity-is-the-law&lt;br&gt;&lt;br&gt;Capgemini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x:v>
      </x:c>
      <x:c r="AB94" s="68" t="str">
        <x:v>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position is a Hybrid role based out of Chicago, Atlanta, Nashville, Dallas, New Jersey
About The Job You're Considering
The Capgemini team offers extensive career opportunities and provides mentoring and coaching for teammates. This role is an experienced professional with a strong background in software developme
Key Responsiblities
- Build intelligent AI agents using Vertex AI Agent Builder and ADK to automate business processes.
- Develop and manage multi-agent systems for end-to-end problem solving.
- Integrate AI agents with enterprise data sources such as BigQuery and Cloud Spanner using MCP Toolbox.
- Design and optimize AI/ML solutions on Vertex AI, including model training, tuning, deployment, and evaluation.
- Build real-time and batch data pipelines using Dataflow and Vertex AI Endpoints.
- Implement RAG and vector search solutions using BigQuery Vector Search or AlloyDB.
Required Skills
- Strong experience with Vertex AI, Agent Builder, Model Garden, and Vertex AI Pipelines.
- Proficiency in Python, SQL (BigQuery), and data preprocessing techniques.
- Hands-on experience with GCP, including BigQuery, Cloud Storage, Vertex AI Endpoints, and Cloud Spanner.
- Knowledge of multi-agent systems, agentic architectures, and real-time processing.
Preferred Qualification
- Experience in Financial Services or Retail domains.
- Familiarity with credit risk, forecasting, search/recommendation systems, and AI governance.
- Knowledge of PII protection, data masking, and compliance standards.
The base compensation range for this role in the posted location is: $68,911 to $161,544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x:v>
      </x:c>
      <x:c r="AC94" s="68" t="str">
        <x:v>Not Applicable</x:v>
      </x:c>
      <x:c r="AD94" s="68" t="str">
        <x:v>Full-time</x:v>
      </x:c>
      <x:c r="AE94" s="68" t="str">
        <x:v>Engineering and Information Technology</x:v>
      </x:c>
      <x:c r="AF94" s="68" t="str">
        <x:v>IT Services and IT Consulting</x:v>
      </x:c>
      <x:c r="AG94" s="68" t="str">
        <x:v>https://www.linkedin.com/jobs/search/?position=1&amp;pageNum=0&amp;keywords=AI+Engineer&amp;location=United+States&amp;distance=0&amp;f_TPR=r604800</x:v>
      </x:c>
      <x:c r="AH94" s="68" t="str">
        <x:v>{'type': 'PostalAddress', 'streetAddress': "Place de l'Étoile", 'addressLocality': 'Paris', 'addressRegion': 'France', 'postalCode': '75017', 'addressCountry': 'FR'}</x:v>
      </x:c>
      <x:c r="AI94" s="68" t="str">
        <x:v>https://www.capgemini.com</x:v>
      </x:c>
      <x:c r="AJ94" s="68" t="str">
        <x:v>Make it real.</x:v>
      </x:c>
      <x:c r="AK94" s="68"/>
      <x:c r="AL94" s="68"/>
      <x:c r="AM94" s="68"/>
      <x:c r="AN94" s="68"/>
      <x:c r="AO94" s="68"/>
      <x:c r="AP94" s="68"/>
    </x:row>
    <x:row r="95" s="25" customFormat="1" ht="22" customHeight="1">
      <x:c r="A95" s="68" t="str">
        <x:v>4450769560</x:v>
      </x:c>
      <x:c r="B95" s="68" t="str">
        <x:v>Artificial Intelligence Engineer</x:v>
      </x:c>
      <x:c r="C95" s="68" t="str">
        <x:v>LaunchCode</x:v>
      </x:c>
      <x:c r="D95" s="68" t="str">
        <x:v>Greater St. Louis</x:v>
      </x:c>
      <x:c r="E95" s="68" t="str">
        <x:v>Failed</x:v>
      </x:c>
      <x:c r="F95" s="68"/>
      <x:c r="G95" s="69"/>
      <x:c r="H95" s="85" t="str">
        <x:v>2026-08-07</x:v>
      </x:c>
      <x:c r="I95" s="85"/>
      <x:c r="J95" s="68" t="str">
        <x:v>187</x:v>
      </x:c>
      <x:c r="K95" s="70" t="str">
        <x:v>$60,000.00/yr - $98,000.00/yr</x:v>
      </x:c>
      <x:c r="L95" s="86"/>
      <x:c r="M95" s="87"/>
      <x:c r="N95" s="71"/>
      <x:c r="O95" s="88"/>
      <x:c r="P95" s="89"/>
      <x:c r="Q95" s="89"/>
      <x:c r="R95" s="89"/>
      <x:c r="S95" s="73"/>
      <x:c r="T95" s="68"/>
      <x:c r="U95" s="68" t="str">
        <x:v>https://www.linkedin.com/jobs/view/artificial-intelligence-engineer-at-launchcode-4450769560?position=10&amp;pageNum=6&amp;refId=Ed5K7tZiMYMhtD9NVKS4Ew%3D%3D&amp;trackingId=zORnAnpNwpwrY5ymS2MWqg%3D%3D</x:v>
      </x:c>
      <x:c r="V95" s="68" t="str">
        <x:v>zORnAnpNwpwrY5ymS2MWqg==</x:v>
      </x:c>
      <x:c r="W95" s="68" t="str">
        <x:v>Ed5K7tZiMYMhtD9NVKS4Ew==</x:v>
      </x:c>
      <x:c r="X95" s="68" t="str">
        <x:v>https://www.linkedin.com/school/launchcode/?trk=public_jobs_jserp-result_job-search-card-subtitle</x:v>
      </x:c>
      <x:c r="Y95" s="68" t="str">
        <x:v>https://media.licdn.com/dms/image/v2/C4E0BAQGL4CSlUoqXmQ/company-logo_100_100/company-logo_100_100/0/1630592441359/launchcode_logo?e=2147483647&amp;v=beta&amp;t=_GmIYHLTH3JRIGuVIF0hrBJrtjHbKevQh0YwgqkGHT8</x:v>
      </x:c>
      <x:c r="Z95" s="68"/>
      <x:c r="AA95" s="68" t="str">
        <x:v>&lt;p&gt;The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results.&lt;/p&gt;&lt;p&gt;&lt;br&gt;&lt;/p&gt;&lt;p&gt;The AI Engineer is responsible for designing, developing, and deploying AI-powered features&lt;/p&gt;&lt;p&gt;using leading enterprise AI platforms. This role focuses on building production-grade LLM&lt;/p&gt;&lt;p&gt;integrations, evaluation frameworks, and agentic systems that deliver measurable business value. The ideal candidate has hands-on experience with commercial foundation models and is&lt;/p&gt;&lt;p&gt;comfortable working across multiple AI ecosystems, including Microsoft Copilot, Azure AI&lt;/p&gt;&lt;p&gt;Foundry, Databricks Genie, Anthropic Claude, and OpenAI GPT models.&lt;/p&gt;&lt;p&gt;&lt;br&gt;&lt;/p&gt;&lt;p&gt;&lt;strong&gt;Key Responsibilities&lt;/strong&gt;&lt;/p&gt;&lt;ol&gt;&lt;li&gt;Build and deploy AI-powered product features using Copilot, Azure AI Foundry, OpenAI, Anthropic, and Databricks Genie.&lt;/li&gt;&lt;li&gt;Develop Retrieval-Augmented Generation (RAG) pipelines that connect LLMs to enterprise data sources.&lt;/li&gt;&lt;li&gt;Design and implement AI agents capable of multi-step reasoning, planning, and tool use.&lt;/li&gt;&lt;li&gt;Create structured prompts, system instructions, and orchestration logic for reliable model behavior.&lt;/li&gt;&lt;li&gt;Build evaluation harnesses to measure accuracy, latency, cost, and safety of AI systems.&lt;/li&gt;&lt;li&gt;Integrate LLM APIs into backend services and enterprise applications.&lt;/li&gt;&lt;li&gt;Monitor and optimize production AI systems, including observability, performance tuning, and cost management.&lt;/li&gt;&lt;li&gt;Collaborate with product, engineering, and data teams to identify high-impact AI opportunities.&lt;/li&gt;&lt;li&gt;Document pipelines, prompts, evaluation results, and architectural decisions.&lt;/li&gt;&lt;/ol&gt;&lt;p&gt;&lt;strong&gt;Required Skills &amp;amp; Qualifications&lt;/strong&gt;&lt;/p&gt;&lt;ol&gt;&lt;li&gt;1–4 years of experience in software engineering, machine learning engineering, or applied AI.&lt;/li&gt;&lt;li&gt;Hands-on experience with at least two major LLM providers (OpenAI, Anthropic, Azure OpenAI).&lt;/li&gt;&lt;li&gt;Proficiency with Microsoft Copilot Studio, Azure AI Foundry, and familiarity with Databricks Genie.&lt;/li&gt;&lt;li&gt;Strong Python development skills for API integration and orchestration.&lt;/li&gt;&lt;li&gt;Experience building RAG pipelines using embeddings, vector search, and grounding strategies.&lt;/li&gt;&lt;li&gt;Understanding of agentic system design, including tool use and structured outputs.&lt;/li&gt;&lt;li&gt;Familiarity with ML Ops concepts such as monitoring, logging, and model lifecycle management.&lt;/li&gt;&lt;li&gt;Experience with cloud platforms (Azure preferred).&lt;/li&gt;&lt;li&gt;Ability to work in production codebases and contribute to CI/CD workflows&lt;/li&gt;&lt;/ol&gt;&lt;p&gt;#LI-Hybrid&lt;/p&gt;&lt;p&gt;&lt;br&gt;&lt;/p&gt;</x:v>
      </x:c>
      <x:c r="AB95" s="68" t="str">
        <x:v>
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
The AI Engineer is responsible for designing, developing, and deploying AI-powered features
using leading enterprise AI platforms. This role focuses on building production-grade LLM
integrations, evaluation frameworks, and agentic systems that deliver measurable business value. The ideal candidate has hands-on experience with commercial foundation models and is
comfortable working across multiple AI ecosystems, including Microsoft Copilot, Azure AI
Foundry, Databricks Genie, Anthropic Claude, and OpenAI GPT models.
Key Responsibilities
- Build and deploy AI-powered product features using Copilot, Azure AI Foundry, OpenAI, Anthropic, and Databricks Genie.
- Develop Retrieval-Augmented Generation (RAG) pipelines that connect LLMs to enterprise data sources.
- Design and implement AI agents capable of multi-step reasoning, planning, and tool use.
- Create structured prompts, system instructions, and orchestration logic for reliable model behavior.
- Build evaluation harnesses to measure accuracy, latency, cost, and safety of AI systems.
- Integrate LLM APIs into backend services and enterprise applications.
- Monitor and optimize production AI systems, including observability, performance tuning, and cost management.
- Collaborate with product, engineering, and data teams to identify high-impact AI opportunities.
- Document pipelines, prompts, evaluation results, and architectural decisions.
Required Skills &amp;amp; Qualifications
- 1–4 years of experience in software engineering, machine learning engineering, or applied AI.
- Hands-on experience with at least two major LLM providers (OpenAI, Anthropic, Azure OpenAI).
- Proficiency with Microsoft Copilot Studio, Azure AI Foundry, and familiarity with Databricks Genie.
- Strong Python development skills for API integration and orchestration.
- Experience building RAG pipelines using embeddings, vector search, and grounding strategies.
- Understanding of agentic system design, including tool use and structured outputs.
- Familiarity with ML Ops concepts such as monitoring, logging, and model lifecycle management.
- Experience with cloud platforms (Azure preferred).
- Ability to work in production codebases and contribute to CI/CD workflows
#LI-Hybrid
</x:v>
      </x:c>
      <x:c r="AC95" s="68" t="str">
        <x:v>Associate</x:v>
      </x:c>
      <x:c r="AD95" s="68" t="str">
        <x:v>Contract</x:v>
      </x:c>
      <x:c r="AE95" s="68" t="str">
        <x:v>Engineering and Information Technology</x:v>
      </x:c>
      <x:c r="AF95" s="68" t="str">
        <x:v>Financial Services</x:v>
      </x:c>
      <x:c r="AG95" s="68" t="str">
        <x:v>https://www.linkedin.com/jobs/search/?position=1&amp;pageNum=0&amp;keywords=AI+Engineer&amp;location=United+States&amp;distance=0&amp;f_TPR=r604800</x:v>
      </x:c>
      <x:c r="AH95" s="68"/>
      <x:c r="AI95" s="68"/>
      <x:c r="AJ95" s="68"/>
      <x:c r="AK95" s="68"/>
      <x:c r="AL95" s="68"/>
      <x:c r="AM95" s="68"/>
      <x:c r="AN95" s="68"/>
      <x:c r="AO95" s="68"/>
      <x:c r="AP95" s="68"/>
    </x:row>
    <x:row r="96" s="25" customFormat="1" ht="22" customHeight="1">
      <x:c r="A96" s="68" t="str">
        <x:v>4422436439</x:v>
      </x:c>
      <x:c r="B96" s="68" t="str">
        <x:v>AI Engineer - Supply Chain</x:v>
      </x:c>
      <x:c r="C96" s="68" t="str">
        <x:v>Stellantis</x:v>
      </x:c>
      <x:c r="D96" s="68" t="str">
        <x:v>Auburn Hills, MI</x:v>
      </x:c>
      <x:c r="E96" s="68" t="str">
        <x:v>Failed</x:v>
      </x:c>
      <x:c r="F96" s="68"/>
      <x:c r="G96" s="69"/>
      <x:c r="H96" s="85" t="str">
        <x:v>2026-08-06</x:v>
      </x:c>
      <x:c r="I96" s="85"/>
      <x:c r="J96" s="68" t="str">
        <x:v>151</x:v>
      </x:c>
      <x:c r="K96" s="70"/>
      <x:c r="L96" s="86"/>
      <x:c r="M96" s="87"/>
      <x:c r="N96" s="71"/>
      <x:c r="O96" s="88"/>
      <x:c r="P96" s="89"/>
      <x:c r="Q96" s="89"/>
      <x:c r="R96" s="89"/>
      <x:c r="S96" s="73"/>
      <x:c r="T96" s="68"/>
      <x:c r="U96" s="68" t="str">
        <x:v>https://www.linkedin.com/jobs/view/ai-engineer-supply-chain-at-stellantis-4422436439?position=4&amp;pageNum=7&amp;refId=amLXhiv5GwroBfdUvvGxcA%3D%3D&amp;trackingId=vXovL%2Bw3H0rkv%2FOEGeGnzQ%3D%3D</x:v>
      </x:c>
      <x:c r="V96" s="68" t="str">
        <x:v>vXovL+w3H0rkv/OEGeGnzQ==</x:v>
      </x:c>
      <x:c r="W96" s="68" t="str">
        <x:v>amLXhiv5GwroBfdUvvGxcA==</x:v>
      </x:c>
      <x:c r="X96" s="68" t="str">
        <x:v>https://nl.linkedin.com/company/stellantis?trk=public_jobs_jserp-result_job-search-card-subtitle</x:v>
      </x:c>
      <x:c r="Y96" s="68" t="str">
        <x:v>https://media.licdn.com/dms/image/v2/C4D0BAQHURyWugU5A4g/company-logo_100_100/company-logo_100_100/0/1630577492034/stellantis_logo?e=2147483647&amp;v=beta&amp;t=cFDtEgXS8rw4smbXTD-xIhe18G-blHN38fuXk4a-bE4</x:v>
      </x:c>
      <x:c r="Z96" s="68"/>
      <x:c r="AA96" s="68" t="str">
        <x:v>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platforms.&lt;br&gt;&lt;br&gt;This is an AI engineering role focused on agent orchestration, tool-calling, RAG/context retrieval, evaluation, and safety guardrails-enabling autonomous planning, logistics, and operations decisions across the supply chain.&lt;br&gt;&lt;br&gt;&lt;strong&gt;Responsibilities Include But Not Limited To&lt;br&gt;&lt;br&gt;&lt;/strong&gt;&lt;ul&gt;&lt;li&gt;Build autonomous AI agents using LLMs, reasoning frameworks, tool-calling, memory, and guardrails&lt;/li&gt;&lt;li&gt;Design multi-step planning and decision logic that enables agents to act safely and intelligently&lt;/li&gt;&lt;li&gt;Integrate agents with APIs, microservices, and workflow systems (e.g., Logic Apps, Power Automate)&lt;/li&gt;&lt;li&gt;Develop evaluation frameworks to measure agent performance, reliability, and safety&lt;/li&gt;&lt;li&gt;Collaborate with data science, automation, and product teams to embed predictive and prescriptive signals into agent workflows&lt;/li&gt;&lt;li&gt;Translate business processes into structured agent behaviors and decision flows&lt;/li&gt;&lt;li&gt;Ensure compliance, observability, and governance for agentic systems&lt;br&gt;&lt;br&gt;&lt;/li&gt;&lt;/ul&gt;&lt;strong&gt;Basic Qualifications&lt;br&gt;&lt;br&gt;&lt;/strong&gt;&lt;ul&gt;&lt;li&gt;Bachelor’s or Master’s degree in computer science, data science, engineering, or a related field&lt;/li&gt;&lt;li&gt;8+ years of professional software and/or AI engineering experience, including 3+ years supporting supply chain or enterprise operations&lt;/li&gt;&lt;li&gt;Demonstrated ability to operate independently and own production services end-to-end (design, build, deploy, monitoring, incident response) with minimal oversight&lt;/li&gt;&lt;li&gt;Strong software engineering skills (Python preferred)&lt;/li&gt;&lt;li&gt;Hands-on experience with LLMs, prompt engineering, agent frameworks, or orchestration tools&lt;/li&gt;&lt;li&gt;Understanding of APIs, microservices, and event-driven architectures&lt;/li&gt;&lt;li&gt;Familiarity with supply chain processes or enterprise systems&lt;/li&gt;&lt;li&gt;Experience designing multi-step workflows or decision logic&lt;/li&gt;&lt;li&gt;Ability to translate business logic into structured agent behaviors&lt;br&gt;&lt;br&gt;&lt;/li&gt;&lt;/ul&gt;&lt;strong&gt;Preferred Qualifications&lt;br&gt;&lt;br&gt;&lt;/strong&gt;&lt;ul&gt;&lt;li&gt;PhD degree in data science, computer science, or related field&lt;/li&gt;&lt;li&gt;Experience with agent frameworks (LangChain, Semantic Kernel, AutoGen)&lt;/li&gt;&lt;li&gt;Experience with RAG, vector databases, or memory architecture&lt;/li&gt;&lt;li&gt;Familiarity with observability, evaluation frameworks, and safety guardrails&lt;/li&gt;&lt;li&gt;Experience integrating agents with ERP, WMS, TMS, or supply chain APIs&lt;br&gt;&lt;br&gt;&lt;/li&gt;&lt;/ul&gt;&lt;strong&gt;Our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x:v>
      </x:c>
      <x:c r="AB96" s="68" t="str">
        <x:v>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
This is an AI engineering role focused on agent orchestration, tool-calling, RAG/context retrieval, evaluation, and safety guardrails-enabling autonomous planning, logistics, and operations decisions across the supply chain.
Responsibilities Include But Not Limited To
- Build autonomous AI agents using LLMs, reasoning frameworks, tool-calling, memory, and guardrails
- Design multi-step planning and decision logic that enables agents to act safely and intelligently
- Integrate agents with APIs, microservices, and workflow systems (e.g., Logic Apps, Power Automate)
- Develop evaluation frameworks to measure agent performance, reliability, and safety
- Collaborate with data science, automation, and product teams to embed predictive and prescriptive signals into agent workflows
- Translate business processes into structured agent behaviors and decision flows
- Ensure compliance, observability, and governance for agentic systems
Basic Qualifications
- Bachelor’s or Master’s degree in computer science, data science, engineering, or a related field
- 8+ years of professional software and/or AI engineering experience, including 3+ years supporting supply chain or enterprise operations
- Demonstrated ability to operate independently and own production services end-to-end (design, build, deploy, monitoring, incident response) with minimal oversight
- Strong software engineering skills (Python preferred)
- Hands-on experience with LLMs, prompt engineering, agent frameworks, or orchestration tools
- Understanding of APIs, microservices, and event-driven architectures
- Familiarity with supply chain processes or enterprise systems
- Experience designing multi-step workflows or decision logic
- Ability to translate business logic into structured agent behaviors
Preferred Qualifications
- PhD degree in data science, computer science, or related field
- Experience with agent frameworks (LangChain, Semantic Kernel, AutoGen)
- Experience with RAG, vector databases, or memory architecture
- Familiarity with observability, evaluation frameworks, and safety guardrails
- Experience integrating agents with ERP, WMS, TMS, or supply chain APIs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x:v>
      </x:c>
      <x:c r="AC96" s="68" t="str">
        <x:v>Not Applicable</x:v>
      </x:c>
      <x:c r="AD96" s="68" t="str">
        <x:v>Full-time</x:v>
      </x:c>
      <x:c r="AE96" s="68" t="str">
        <x:v>Other</x:v>
      </x:c>
      <x:c r="AF96" s="68" t="str">
        <x:v>Automation Machinery Manufacturing</x:v>
      </x:c>
      <x:c r="AG96" s="68" t="str">
        <x:v>https://www.linkedin.com/jobs/search/?position=1&amp;pageNum=0&amp;keywords=AI+Engineer&amp;location=United+States&amp;distance=0&amp;f_TPR=r604800</x:v>
      </x:c>
      <x:c r="AH96" s="68" t="str">
        <x:v>{'type': 'PostalAddress', 'addressLocality': 'Amsterdam', 'addressCountry': 'NL'}</x:v>
      </x:c>
      <x:c r="AI96" s="68" t="str">
        <x:v>https://www.stellantis.com</x:v>
      </x:c>
      <x:c r="AJ96" s="68"/>
      <x:c r="AK96" s="68"/>
      <x:c r="AL96" s="68"/>
      <x:c r="AM96" s="68"/>
      <x:c r="AN96" s="68"/>
      <x:c r="AO96" s="68"/>
      <x:c r="AP96" s="68"/>
    </x:row>
    <x:row r="97" s="25" customFormat="1" ht="22" customHeight="1">
      <x:c r="A97" s="68" t="str">
        <x:v>4422343399</x:v>
      </x:c>
      <x:c r="B97" s="68" t="str">
        <x:v>AI Agent &amp; Automation Developer</x:v>
      </x:c>
      <x:c r="C97" s="68" t="str">
        <x:v>Cherry Bekaert</x:v>
      </x:c>
      <x:c r="D97" s="68" t="str">
        <x:v>Fort Lauderdale, FL</x:v>
      </x:c>
      <x:c r="E97" s="68" t="str">
        <x:v>Failed</x:v>
      </x:c>
      <x:c r="F97" s="68"/>
      <x:c r="G97" s="69"/>
      <x:c r="H97" s="85" t="str">
        <x:v>2026-08-06</x:v>
      </x:c>
      <x:c r="I97" s="85"/>
      <x:c r="J97" s="68" t="str">
        <x:v>200</x:v>
      </x:c>
      <x:c r="K97" s="70"/>
      <x:c r="L97" s="86"/>
      <x:c r="M97" s="87"/>
      <x:c r="N97" s="71"/>
      <x:c r="O97" s="88"/>
      <x:c r="P97" s="89"/>
      <x:c r="Q97" s="89"/>
      <x:c r="R97" s="89"/>
      <x:c r="S97" s="73"/>
      <x:c r="T97" s="68"/>
      <x:c r="U97" s="68" t="str">
        <x:v>https://www.linkedin.com/jobs/view/ai-agent-automation-developer-at-cherry-bekaert-4422343399?position=3&amp;pageNum=7&amp;refId=amLXhiv5GwroBfdUvvGxcA%3D%3D&amp;trackingId=ptn8HIpICc0ifaIkPORTHQ%3D%3D</x:v>
      </x:c>
      <x:c r="V97" s="68" t="str">
        <x:v>ptn8HIpICc0ifaIkPORTHQ==</x:v>
      </x:c>
      <x:c r="W97" s="68" t="str">
        <x:v>amLXhiv5GwroBfdUvvGxcA==</x:v>
      </x:c>
      <x:c r="X97" s="68" t="str">
        <x:v>https://www.linkedin.com/company/cherrybekaert?trk=public_jobs_jserp-result_job-search-card-subtitle</x:v>
      </x:c>
      <x:c r="Y97" s="68" t="str">
        <x:v>https://media.licdn.com/dms/image/v2/C560BAQEUaDb51OG1Zw/company-logo_100_100/company-logo_100_100/0/1656532367586/cherrybekaert_logo?e=2147483647&amp;v=beta&amp;t=Pp7PAaBZ2Ly2s9XhWV1aqqdrJZe0OjV7Uj-LycRBzKk</x:v>
      </x:c>
      <x:c r="Z97" s="68"/>
      <x:c r="AA97" s="68" t="str">
        <x:v>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locations.&lt;br&gt;&lt;br&gt;We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excellence.&lt;br&gt;&lt;br&gt;This role supports organizational transformation by solving complex business challenges through intelligent automation, agent orchestration, and advanced analytics. You must be adaptable, collaborative, and eager to learn new technologies to address multifaceted business problems.&lt;br&gt;&lt;br&gt;A successful candidate is a proactive problem-solver with strong software engineering skills, ready to thrive in a fast-paced environment and communicate effectively with both technical and business stakeholders.&lt;br&gt;&lt;br&gt;&lt;strong&gt;As An AI Agent &amp;amp; Automation Developer, You Will&lt;br&gt;&lt;br&gt;&lt;/strong&gt;&lt;ul&gt;&lt;li&gt;Design and implement AI agents using LLMs, planning algorithms, and decision-making frameworks.&lt;/li&gt;&lt;li&gt;Develop agent architectures that support autonomy, interactivity, and task completion.&lt;/li&gt;&lt;li&gt;Integrate agents into applications, APIs, or workflows (e.g., chatbots, automation tools).&lt;/li&gt;&lt;li&gt;Collaborate with researchers, engineers, and product teams to iterate on agent capabilities.&lt;/li&gt;&lt;li&gt;Optimize agent behavior through feedback loops, reinforcement learning, or user interaction.&lt;/li&gt;&lt;li&gt;Engineer and manage context for agents to ensure they access the right information at the right time. This includes applying methods such as:&lt;/li&gt;&lt;li&gt;Prompt Engineering – injecting information directly into prompts.&lt;/li&gt;&lt;li&gt;Fine-tuning – training models on additional data to embed knowledge (where applicable).&lt;/li&gt;&lt;li&gt;Retrieval-Augmented Generation (RAG) – embedding documents into vector databases and retrieving semantically relevant information.&lt;/li&gt;&lt;li&gt;Tool Use – leveraging sub-agents or deterministic models to locate and add relevant context.&lt;/li&gt;&lt;li&gt;Hybrid Approaches – combining two or more methods to maximize reliability and relevance.&lt;/li&gt;&lt;li&gt;Monitor performance, conduct evaluations, and implement safety and guardrail mechanisms.&lt;/li&gt;&lt;li&gt;Maintain thorough documentation of agent logic, design decisions, and dependencies.&lt;/li&gt;&lt;li&gt;Stay up to date with industry developments and advancements in AI, machine learning, and agent-based technologies.&lt;/li&gt;&lt;li&gt;Collaborate with stakeholders and engineering teams to integrate AI agents with Microsoft-specific platforms such as Copilot Studio, Azure AI, and Semantic Kernel SDK.&lt;/li&gt;&lt;li&gt;Build and deploy enterprise-grade Copilots using Microsoft’s orchestration tools, enabling seamless interaction across Microsoft 365, Dynamics, and custom business applications.&lt;br&gt;&lt;br&gt;&lt;/li&gt;&lt;/ul&gt;&lt;strong&gt;What You Bring To The Role&lt;br&gt;&lt;br&gt;&lt;/strong&gt;&lt;ul&gt;&lt;li&gt;Bachelor’s degree in Computer Science, AI, Machine Learning, or a related field.&lt;/li&gt;&lt;li&gt;Proven experience in agent-based systems, or intelligent automation, with a minimum of 2 years in a similar role.&lt;/li&gt;&lt;li&gt;Strong programming skills in Python (or similar) and experience with AI/ML libraries (e.g., LangChain, OpenAI API, Hugging Face, PyTorch).&lt;/li&gt;&lt;li&gt;Understanding of agent-based modeling, multi-agent systems, or reinforcement learning.&lt;/li&gt;&lt;li&gt;Experience building applications with LLMs or generative AI models.&lt;/li&gt;&lt;li&gt;Familiarity with API development, backend services, and deployment pipelines.&lt;/li&gt;&lt;li&gt;Ability to work independently in experimental and fast-paced environments.&lt;/li&gt;&lt;li&gt;Excellent communication and interpersonal skills, with the ability to build strong relationships with business and technical stakeholders.&lt;/li&gt;&lt;li&gt;Analytical mindset with the ability to solve complex problems and make data-driven decisions.&lt;/li&gt;&lt;li&gt;Demonstrated understanding of data quality, integrity, and systems integration.&lt;br&gt;&lt;br&gt;&lt;/li&gt;&lt;/ul&gt;&lt;strong&gt;What You Can Expect From Us&lt;br&gt;&lt;br&gt;&lt;/strong&gt;&lt;ul&gt;&lt;li&gt;Our shared values that foster inclusion and belonging including uncompromising integrity, collaboration, trust, and mutual respect&lt;/li&gt;&lt;li&gt;The opportunity to innovate and do work that motivates and engages you&lt;/li&gt;&lt;li&gt;A collaborative environment focused on enabling you to further your career growth and continuous professional development&lt;/li&gt;&lt;li&gt;Competitive compensation and a total rewards package that focuses on all aspects of your wellbeing&lt;/li&gt;&lt;li&gt;Flexibility to do impactful work and the time to enjoy your life outside of work&lt;/li&gt;&lt;li&gt;Opportunities to connect and learn from professionals from different backgrounds and with different cultures&lt;br&gt;&lt;br&gt;&lt;/li&gt;&lt;/ul&gt;&lt;strong&gt;Benefits Information&lt;br&gt;&lt;br&gt;&lt;/strong&gt;Cherry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protection.&lt;br&gt;&lt;br&gt;&lt;strong&gt;Pay Range&lt;br&gt;&lt;br&gt;&lt;/strong&gt;54,245-134,000&lt;br&gt;&lt;br&gt;&lt;strong&gt;About Cherry Bekaert&lt;br&gt;&lt;br&gt;&lt;/strong&gt;Cherry Bekaert, ranked among the largest assurance, tax and advisory firms in the U.S., serves clients across industries in all 50 U.S. states and internationally. For more details, visit https://www.cbh.com/disclosure/ &lt;br&gt;&lt;br&gt;Cherry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laws.&lt;br&gt;&lt;br&gt;This role is expected to accept applications for at least five calendar days and may continue to be posted until a qualified applicant is selected or the position has been cancelled.  &lt;br&gt;&lt;br&gt;Candidates must demonstrate eligibility to work in the United States. Cherry Bekaert will not provide work sponsorship for this position.&lt;br&gt;&lt;br&gt;Cherry Bekaert LLP and Cherry Bekaert Advisory LLC are members of Allinial Global, an accountancy and business advisory global association. Visit us at  https://careers.cbh.com/ and follow us on LinkedIn, Instagram, Twitter and Facebook. &lt;br&gt;&lt;br&gt;© 2026 Cherry Bekaert. All Rights Reserved.</x:v>
      </x:c>
      <x:c r="AB97" s="68" t="str">
        <x:v>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
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
This role supports organizational transformation by solving complex business challenges through intelligent automation, agent orchestration, and advanced analytics. You must be adaptable, collaborative, and eager to learn new technologies to address multifaceted business problems.
A successful candidate is a proactive problem-solver with strong software engineering skills, ready to thrive in a fast-paced environment and communicate effectively with both technical and business stakeholders.
As An AI Agent &amp;amp; Automation Developer, You Will
- Design and implement AI agents using LLMs, planning algorithms, and decision-making frameworks.
- Develop agent architectures that support autonomy, interactivity, and task completion.
- Integrate agents into applications, APIs, or workflows (e.g., chatbots, automation tools).
- Collaborate with researchers, engineers, and product teams to iterate on agent capabilities.
- Optimize agent behavior through feedback loops, reinforcement learning, or user interaction.
- Engineer and manage context for agents to ensure they access the right information at the right time. This includes applying methods such as:
- Prompt Engineering – injecting information directly into prompts.
- Fine-tuning – training models on additional data to embed knowledge (where applicable).
- Retrieval-Augmented Generation (RAG) – embedding documents into vector databases and retrieving semantically relevant information.
- Tool Use – leveraging sub-agents or deterministic models to locate and add relevant context.
- Hybrid Approaches – combining two or more methods to maximize reliability and relevance.
- Monitor performance, conduct evaluations, and implement safety and guardrail mechanisms.
- Maintain thorough documentation of agent logic, design decisions, and dependencies.
- Stay up to date with industry developments and advancements in AI, machine learning, and agent-based technologies.
- Collaborate with stakeholders and engineering teams to integrate AI agents with Microsoft-specific platforms such as Copilot Studio, Azure AI, and Semantic Kernel SDK.
- Build and deploy enterprise-grade Copilots using Microsoft’s orchestration tools, enabling seamless interaction across Microsoft 365, Dynamics, and custom business applications.
What You Bring To The Role
- Bachelor’s degree in Computer Science, AI, Machine Learning, or a related field.
- Proven experience in agent-based systems, or intelligent automation, with a minimum of 2 years in a similar role.
- Strong programming skills in Python (or similar) and experience with AI/ML libraries (e.g., LangChain, OpenAI API, Hugging Face, PyTorch).
- Understanding of agent-based modeling, multi-agent systems, or reinforcement learning.
- Experience building applications with LLMs or generative AI models.
- Familiarity with API development, backend services, and deployment pipelines.
- Ability to work independently in experimental and fast-paced environments.
- Excellent communication and interpersonal skills, with the ability to build strong relationships with business and technical stakeholders.
- Analytical mindset with the ability to solve complex problems and make data-driven decisions.
- Demonstrated understanding of data quality, integrity, and systems integration.
What You Can Expect From Us
- Our shared values that foster inclusion and belonging including uncompromising integrity, collaboration, trust, and mutual respect
- The opportunity to innovate and do work that motivates and engages you
- A collaborative environment focused on enabling you to further your career growth and continuous professional development
- Competitive compensation and a total rewards package that focuses on all aspects of your wellbeing
- Flexibility to do impactful work and the time to enjoy your life outside of work
- Opportunities to connect and learn from professionals from different backgrounds and with different cultures
Benefits Information
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Pay Range
54,245-134,000
About Cherry Bekaert
Cherry Bekaert, ranked among the largest assurance, tax and advisory firms in the U.S., serves clients across industries in all 50 U.S. states and internationally. For more details, visit https://www.cbh.com/disclosure/ 
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
This role is expected to accept applications for at least five calendar days and may continue to be posted until a qualified applicant is selected or the position has been cancelled.  
Candidates must demonstrate eligibility to work in the United States. Cherry Bekaert will not provide work sponsorship for this position.
Cherry Bekaert LLP and Cherry Bekaert Advisory LLC are members of Allinial Global, an accountancy and business advisory global association. Visit us at  https://careers.cbh.com/ and follow us on LinkedIn, Instagram, Twitter and Facebook. 
© 2026 Cherry Bekaert. All Rights Reserved.</x:v>
      </x:c>
      <x:c r="AC97" s="68" t="str">
        <x:v>Not Applicable</x:v>
      </x:c>
      <x:c r="AD97" s="68" t="str">
        <x:v>Full-time</x:v>
      </x:c>
      <x:c r="AE97" s="68" t="str">
        <x:v>Quality Assurance</x:v>
      </x:c>
      <x:c r="AF97" s="68" t="str">
        <x:v>Accounting</x:v>
      </x:c>
      <x:c r="AG97" s="68" t="str">
        <x:v>https://www.linkedin.com/jobs/search/?position=1&amp;pageNum=0&amp;keywords=AI+Engineer&amp;location=United+States&amp;distance=0&amp;f_TPR=r604800</x:v>
      </x:c>
      <x:c r="AH97" s="68" t="str">
        <x:v>{'type': 'PostalAddress', 'streetAddress': '3800 Glenwood Ave', 'addressLocality': 'Raleigh', 'addressRegion': 'North Carolina', 'postalCode': '27612', 'addressCountry': 'US'}</x:v>
      </x:c>
      <x:c r="AI97" s="68" t="str">
        <x:v>http://www.cbh.com</x:v>
      </x:c>
      <x:c r="AJ97" s="68"/>
      <x:c r="AK97" s="68"/>
      <x:c r="AL97" s="68"/>
      <x:c r="AM97" s="68"/>
      <x:c r="AN97" s="68"/>
      <x:c r="AO97" s="68"/>
      <x:c r="AP97" s="68"/>
    </x:row>
    <x:row r="98" s="25" customFormat="1" ht="22" customHeight="1">
      <x:c r="A98" s="68" t="str">
        <x:v>4441101819</x:v>
      </x:c>
      <x:c r="B98" s="68" t="str">
        <x:v>Applied AI Engineer</x:v>
      </x:c>
      <x:c r="C98" s="68" t="str">
        <x:v>Abby Care</x:v>
      </x:c>
      <x:c r="D98" s="68" t="str">
        <x:v>San Francisco, CA</x:v>
      </x:c>
      <x:c r="E98" s="68" t="str">
        <x:v>Applied</x:v>
      </x:c>
      <x:c r="F98" s="68"/>
      <x:c r="G98" s="69"/>
      <x:c r="H98" s="85" t="str">
        <x:v>2026-08-07</x:v>
      </x:c>
      <x:c r="I98" s="85"/>
      <x:c r="J98" s="68" t="str">
        <x:v>200</x:v>
      </x:c>
      <x:c r="K98" s="70" t="str">
        <x:v>$165,000.00/yr - $220,000.00/yr</x:v>
      </x:c>
      <x:c r="L98" s="86"/>
      <x:c r="M98" s="87"/>
      <x:c r="N98" s="71"/>
      <x:c r="O98" s="88"/>
      <x:c r="P98" s="89"/>
      <x:c r="Q98" s="89"/>
      <x:c r="R98" s="89"/>
      <x:c r="S98" s="73"/>
      <x:c r="T98" s="68"/>
      <x:c r="U98" s="68" t="str">
        <x:v>https://www.linkedin.com/jobs/view/applied-ai-engineer-at-abby-care-4441101819?position=1&amp;pageNum=7&amp;refId=amLXhiv5GwroBfdUvvGxcA%3D%3D&amp;trackingId=3sTgoYkoN4IYdb3gqs%2FrqQ%3D%3D</x:v>
      </x:c>
      <x:c r="V98" s="68" t="str">
        <x:v>3sTgoYkoN4IYdb3gqs/rqQ==</x:v>
      </x:c>
      <x:c r="W98" s="68" t="str">
        <x:v>amLXhiv5GwroBfdUvvGxcA==</x:v>
      </x:c>
      <x:c r="X98" s="68" t="str">
        <x:v>https://www.linkedin.com/company/abbycareorg?trk=public_jobs_jserp-result_job-search-card-subtitle</x:v>
      </x:c>
      <x:c r="Y98" s="68" t="str">
        <x:v>https://media.licdn.com/dms/image/v2/D560BAQGJn4CUw3aMVg/company-logo_100_100/B56Zx9.d8XHoAQ-/0/1771640056316/abbycareorg_logo?e=2147483647&amp;v=beta&amp;t=Fp1YkTMwsQR2s4YNII6RFL_LuUuc9WJECButCZ-74-8</x:v>
      </x:c>
      <x:c r="Z98" s="68"/>
      <x:c r="AA98" s="68" t="str">
        <x:v>&lt;strong&gt;About Abby Care: Powering the future of care at home for all of America.&lt;br&gt;&lt;br&gt;&lt;/strong&gt;Abby Care is building the leading AI-native platform for family-led care. America is facing a growing care crisis. Millions more people need care at home than ever. Over 50 million family caregivers support loved ones without the tools, training, or recognition they deserve.&lt;br&gt;&lt;br&gt;We believe families are the largest untapped caregiving workforce in America, and that technology can help them deliver better care while driving stronger outcomes and greater transparency across the healthcare system.&lt;br&gt;&lt;br&gt;Abby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effectively.&lt;br&gt;&lt;br&gt;We are proud to partner with leading health plans, providers, and community organizations and are backed by top VCs. We envision a future where family-led care is a core part of the healthcare system. Abby Care is building that future.&lt;br&gt;&lt;br&gt;&lt;strong&gt;Join us in solving one of the most important challenges of our time.&lt;br&gt;&lt;br&gt;&lt;/strong&gt;&lt;strong&gt;The Opportunity&lt;br&gt;&lt;br&gt;&lt;/strong&gt;Abby Care is building an AI-native operating system for home care—one that manages the full lifecycle from caregiver and patient intake through care delivery, billing, and compliance.&lt;br&gt;&lt;br&gt;As we expand our capacity to support more family caregivers at scale, we’re looking for an Applied AI Engineer to build AI-powered products and workflow automation that help caregivers, clinicians, and operational teams deliver better care.&lt;br&gt;&lt;br&gt;Reporting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person.&lt;br&gt;&lt;br&gt;You will contribute across the development lifecycle: understanding the underlying workflow, prototyping solutions, preparing datasets, building evaluations, implementing production systems, and learning from real-world usage.&lt;br&gt;&lt;br&gt;Curious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you!&lt;br&gt;&lt;br&gt;This is a full-time hybrid opportunity based in San Francisco, California, with four days per week in person.&lt;br&gt;&lt;br&gt;&lt;strong&gt;What You’ll Work On&lt;br&gt;&lt;br&gt;&lt;/strong&gt;&lt;strong&gt;Build AI-powered products and automation:&lt;/strong&gt; Develop agents, copilots, and intelligent workflows that help caregivers, clinicians, and operational teams deliver better care at scale.&lt;br&gt;&lt;br&gt;&lt;strong&gt;Develop production systems:&lt;/strong&gt; Build the backend services, APIs, data pipelines, integrations, and reusable AI components required to move solutions from prototype to reliable production use.&lt;br&gt;&lt;br&gt;&lt;strong&gt;Work with complex healthcare information:&lt;/strong&gt; Create systems that extract, retrieve, and reason over clinical documents, conversations, operational records, and other structured and unstructured data.&lt;br&gt;&lt;br&gt;&lt;strong&gt;Evaluate and improve system quality:&lt;/strong&gt; Build representative datasets, measure performance, analyze failures, and improve models, prompts, retrieval, tools, and workflow logic based on evidence.&lt;br&gt;&lt;br&gt;&lt;strong&gt;Learn directly from users and operations:&lt;/strong&gt; Partner with Product, Design, Clinical, and Operations to understand real workflows, identify edge cases, and rapidly iterate based on production feedback.&lt;br&gt;&lt;br&gt;&lt;strong&gt;Contribute to strong engineering foundations:&lt;/strong&gt; Write maintainable, well-tested code and help build shared capabilities for orchestration, tool use, structured outputs, monitoring, tracing, and evaluation.&lt;br&gt;&lt;br&gt;&lt;strong&gt;What Success Looks Like&lt;br&gt;&lt;br&gt;&lt;/strong&gt;&lt;ul&gt;&lt;li&gt;You consistently ship AI-powered capabilities that solve real problems for caregivers, clinicians, and operational teams.&lt;/li&gt;&lt;li&gt;Your work progresses from prototype to reliable production functionality rather than stopping at demonstration-stage experiments.&lt;/li&gt;&lt;li&gt;The systems you build are supported by clear evaluations, monitoring, and documented limitations.&lt;/li&gt;&lt;li&gt;You use production feedback and error analysis to improve system quality over time.&lt;/li&gt;&lt;li&gt;You collaborate effectively with product engineers, domain experts, and operational users.&lt;/li&gt;&lt;li&gt;You develop reusable components that accelerate future Applied AI work.&lt;/li&gt;&lt;li&gt;You grow your ability to independently own increasingly complex projects and technical decisions.&lt;/li&gt;&lt;li&gt;You build a strong understanding of when to use AI, deterministic software, or human review to produce the best outcome.&lt;br&gt;&lt;br&gt;&lt;/li&gt;&lt;/ul&gt;&lt;strong&gt;What You’ll Have&lt;br&gt;&lt;br&gt;&lt;/strong&gt;&lt;ul&gt;&lt;li&gt;2+ years of professional software engineering, machine learning, or Applied AI experience, or equivalent demonstrated ability.&lt;/li&gt;&lt;li&gt;Strong programming skills and software engineering fundamentals.&lt;/li&gt;&lt;li&gt;Experience building applications using language models, machine-learning models, or modern AI APIs.&lt;/li&gt;&lt;li&gt;Familiarity with backend development, APIs, data processing, testing, and production software systems.&lt;/li&gt;&lt;li&gt;Ability to structure ambiguous problems, test assumptions, and iterate based on evidence.&lt;/li&gt;&lt;li&gt;Interest in building evaluations and understanding why AI systems succeed or fail.&lt;/li&gt;&lt;li&gt;Strong ownership, curiosity, and willingness to engage directly with users and operational workflows.&lt;/li&gt;&lt;li&gt;Clear written and verbal communication skills.&lt;/li&gt;&lt;li&gt;Must reside in or be willing to permanently relocate to the San Francisco Bay Area.&lt;/li&gt;&lt;li&gt;Experience with Python, agent architectures, retrieval-augmented generation, document intelligence, multimodal models, structured generation, model evaluation, monitoring, or prompt optimization is preferred but not required.&lt;/li&gt;&lt;li&gt;Experience in healthcare, fintech, insurance, another regulated environment, a startup, or an operations-intensive business is preferred but not required.&lt;br&gt;&lt;br&gt;&lt;/li&gt;&lt;/ul&gt;&lt;strong&gt;Benefits&lt;br&gt;&lt;br&gt;&lt;/strong&gt;&lt;ul&gt;&lt;li&gt;Competitive compensation packages that reflect the value you bring. We reward our team for the impact of their work.&lt;/li&gt;&lt;li&gt;Comprehensive health coverage that works for you. Choose from high-quality medical dental and vision options, including a $0 deductible PPO and a company-funded HSA, alongside employer-paid life and disability insurance.&lt;/li&gt;&lt;li&gt;Generous paid time off. We provide policies that allow you to recharge along with 10 paid company holidays.&lt;/li&gt;&lt;li&gt;Financial savings benefits to support your future. We support your financial well-being with HSA contributions, optional FSA and commuter benefits, and full coverage of all 401(k) account fees (employer match not currently offered).&lt;/li&gt;&lt;li&gt;Paid parental leave to support your growing family. We provide paid leave, so you can focus on bonding and adjusting to life as your family grows.&lt;br&gt;&lt;br&gt;&lt;/li&gt;&lt;/ul&gt;&lt;strong&gt;Our Values&lt;br&gt;&lt;br&gt;&lt;/strong&gt;&lt;ul&gt;&lt;li&gt;Families First Redefining healthcare starts with how we treat the parents and children we serve. We go above and beyond for every family, building strong, lasting relationships. We continually ask ourselves, “Would we want this for our own families?”&lt;/li&gt;&lt;li&gt;Urgency with Precision Millions of families are waiting for care, and they cannot wait, therefore this is not your typical 9 to 5 job. We match their urgency with our own, delivering exceptional care without compromise. Here, speed and excellence go hand in hand.&lt;/li&gt;&lt;li&gt;Relentlessly Resourceful As an ambitious startup, we adapt quickly and make the most of limited time and resources. We solve challenges with creativity to deliver results without unnecessary complexity.&lt;/li&gt;&lt;li&gt;Purpose with Positivity We take our mission seriously while never losing sight of the people behind the work. Respect, kindness, memes, and coffee make us stronger as a team and better for the families we serve.&lt;/li&gt;&lt;li&gt;Driven to Redefine What’s Possible We are here to make healthcare better, which means asking hard questions, challenging outdated systems, and finding smarter, more compassionate ways to deliver care.&lt;br&gt;&lt;br&gt;&lt;/li&gt;&lt;/ul&gt;&lt;em&gt;&lt;strong&gt;Automated Decision Tools&lt;br&gt;&lt;br&gt;&lt;/strong&gt;&lt;/em&gt;&lt;em&gt;Abby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&lt;/em&gt;&lt;em&gt;talent@abbycare.org&lt;/em&gt;&lt;em&gt;.&lt;br&gt;&lt;br&gt;&lt;/em&gt;Compensation Range: $165K - $220K&lt;br&gt;&lt;br&gt;</x:v>
      </x:c>
      <x:c r="AB98" s="68" t="str">
        <x:v>About Abby Care: Powering the future of care at home for all of America.
Abby Care is building the leading AI-native platform for family-led care. America is facing a growing care crisis. Millions more people need care at home than ever. Over 50 million family caregivers support loved ones without the tools, training, or recognition they deserve.
We believe families are the largest untapped caregiving workforce in America, and that technology can help them deliver better care while driving stronger outcomes and greater transparency across the healthcare system.
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
We are proud to partner with leading health plans, providers, and community organizations and are backed by top VCs. We envision a future where family-led care is a core part of the healthcare system. Abby Care is building that future.
Join us in solving one of the most important challenges of our time.
The Opportunity
Abby Care is building an AI-native operating system for home care—one that manages the full lifecycle from caregiver and patient intake through care delivery, billing, and compliance.
As we expand our capacity to support more family caregivers at scale, we’re looking for an Applied AI Engineer to build AI-powered products and workflow automation that help caregivers, clinicians, and operational teams deliver better care.
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
You will contribute across the development lifecycle: understanding the underlying workflow, prototyping solutions, preparing datasets, building evaluations, implementing production systems, and learning from real-world usage.
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
This is a full-time hybrid opportunity based in San Francisco, California, with four days per week in person.
What You’ll Work On
Build AI-powered products and automation: Develop agents, copilots, and intelligent workflows that help caregivers, clinicians, and operational teams deliver better care at scale.
Develop production systems: Build the backend services, APIs, data pipelines, integrations, and reusable AI components required to move solutions from prototype to reliable production use.
Work with complex healthcare information: Create systems that extract, retrieve, and reason over clinical documents, conversations, operational records, and other structured and unstructured data.
Evaluate and improve system quality: Build representative datasets, measure performance, analyze failures, and improve models, prompts, retrieval, tools, and workflow logic based on evidence.
Learn directly from users and operations: Partner with Product, Design, Clinical, and Operations to understand real workflows, identify edge cases, and rapidly iterate based on production feedback.
Contribute to strong engineering foundations: Write maintainable, well-tested code and help build shared capabilities for orchestration, tool use, structured outputs, monitoring, tracing, and evaluation.
What Success Looks Like
- You consistently ship AI-powered capabilities that solve real problems for caregivers, clinicians, and operational teams.
- Your work progresses from prototype to reliable production functionality rather than stopping at demonstration-stage experiments.
- The systems you build are supported by clear evaluations, monitoring, and documented limitations.
- You use production feedback and error analysis to improve system quality over time.
- You collaborate effectively with product engineers, domain experts, and operational users.
- You develop reusable components that accelerate future Applied AI work.
- You grow your ability to independently own increasingly complex projects and technical decisions.
- You build a strong understanding of when to use AI, deterministic software, or human review to produce the best outcome.
What You’ll Have
- 2+ years of professional software engineering, machine learning, or Applied AI experience, or equivalent demonstrated ability.
- Strong programming skills and software engineering fundamentals.
- Experience building applications using language models, machine-learning models, or modern AI APIs.
- Familiarity with backend development, APIs, data processing, testing, and production software systems.
- Ability to structure ambiguous problems, test assumptions, and iterate based on evidence.
- Interest in building evaluations and understanding why AI systems succeed or fail.
- Strong ownership, curiosity, and willingness to engage directly with users and operational workflows.
- Clear written and verbal communication skills.
- Must reside in or be willing to permanently relocate to the San Francisco Bay Area.
- Experience with Python, agent architectures, retrieval-augmented generation, document intelligence, multimodal models, structured generation, model evaluation, monitoring, or prompt optimization is preferred but not required.
- Experience in healthcare, fintech, insurance, another regulated environment, a startup, or an operations-intensive business is preferred but not required.
Benefits
- Competitive compensation packages that reflect the value you bring. We reward our team for the impact of their work.
- Comprehensive health coverage that works for you. Choose from high-quality medical dental and vision options, including a $0 deductible PPO and a company-funded HSA, alongside employer-paid life and disability insurance.
- Generous paid time off. We provide policies that allow you to recharge along with 10 paid company holidays.
- Financial savings benefits to support your future. We support your financial well-being with HSA contributions, optional FSA and commuter benefits, and full coverage of all 401(k) account fees (employer match not currently offered).
- Paid parental leave to support your growing family. We provide paid leave, so you can focus on bonding and adjusting to life as your family grows.
Our Values
- Families First Redefining healthcare starts with how we treat the parents and children we serve. We go above and beyond for every family, building strong, lasting relationships. We continually ask ourselves, “Would we want this for our own families?”
- Urgency with Precision Millions of families are waiting for care, and they cannot wait, therefore this is not your typical 9 to 5 job. We match their urgency with our own, delivering exceptional care without compromise. Here, speed and excellence go hand in hand.
- Relentlessly Resourceful As an ambitious startup, we adapt quickly and make the most of limited time and resources. We solve challenges with creativity to deliver results without unnecessary complexity.
- Purpose with Positivity We take our mission seriously while never losing sight of the people behind the work. Respect, kindness, memes, and coffee make us stronger as a team and better for the families we serve.
- Driven to Redefine What’s Possible We are here to make healthcare better, which means asking hard questions, challenging outdated systems, and finding smarter, more compassionate ways to deliver care.
Automated Decision Tools
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talent@abbycare.org.
Compensation Range: $165K - $220K
</x:v>
      </x:c>
      <x:c r="AC98" s="68" t="str">
        <x:v>Not Applicable</x:v>
      </x:c>
      <x:c r="AD98" s="68" t="str">
        <x:v>Full-time</x:v>
      </x:c>
      <x:c r="AE98" s="68" t="str">
        <x:v>Engineering and Information Technology</x:v>
      </x:c>
      <x:c r="AF98" s="68" t="str">
        <x:v>Technology, Information and Internet</x:v>
      </x:c>
      <x:c r="AG98" s="68" t="str">
        <x:v>https://www.linkedin.com/jobs/search/?position=1&amp;pageNum=0&amp;keywords=AI+Engineer&amp;location=United+States&amp;distance=0&amp;f_TPR=r604800</x:v>
      </x:c>
      <x:c r="AH98" s="68" t="str">
        <x:v>{'type': 'PostalAddress', 'addressLocality': 'San Francisco', 'addressRegion': 'CA', 'addressCountry': 'US'}</x:v>
      </x:c>
      <x:c r="AI98" s="68" t="str">
        <x:v>https://www.abbycare.org/</x:v>
      </x:c>
      <x:c r="AJ98" s="68" t="str">
        <x:v>Making family care possible</x:v>
      </x:c>
      <x:c r="AK98" s="68"/>
      <x:c r="AL98" s="68"/>
      <x:c r="AM98" s="68"/>
      <x:c r="AN98" s="68"/>
      <x:c r="AO98" s="68"/>
      <x:c r="AP98" s="68"/>
    </x:row>
    <x:row r="99" s="25" customFormat="1" ht="22" customHeight="1">
      <x:c r="A99" s="68" t="str">
        <x:v>4424286897</x:v>
      </x:c>
      <x:c r="B99" s="68" t="str">
        <x:v>AI Engineer</x:v>
      </x:c>
      <x:c r="C99" s="68" t="str">
        <x:v>Vorto</x:v>
      </x:c>
      <x:c r="D99" s="68" t="str">
        <x:v>Denver, CO</x:v>
      </x:c>
      <x:c r="E99" s="68" t="str">
        <x:v>Applied</x:v>
      </x:c>
      <x:c r="F99" s="68"/>
      <x:c r="G99" s="69"/>
      <x:c r="H99" s="85" t="str">
        <x:v>2026-08-07</x:v>
      </x:c>
      <x:c r="I99" s="85"/>
      <x:c r="J99" s="68" t="str">
        <x:v>200</x:v>
      </x:c>
      <x:c r="K99" s="70"/>
      <x:c r="L99" s="86"/>
      <x:c r="M99" s="87"/>
      <x:c r="N99" s="71"/>
      <x:c r="O99" s="88"/>
      <x:c r="P99" s="89"/>
      <x:c r="Q99" s="89"/>
      <x:c r="R99" s="89"/>
      <x:c r="S99" s="73"/>
      <x:c r="T99" s="68"/>
      <x:c r="U99" s="68" t="str">
        <x:v>https://www.linkedin.com/jobs/view/ai-engineer-at-vorto-4424286897?position=7&amp;pageNum=8&amp;refId=84IM%2FcTm6yKVp3XV1k0rtA%3D%3D&amp;trackingId=v%2FHBr60eS%2FInjHMTyOBg1Q%3D%3D</x:v>
      </x:c>
      <x:c r="V99" s="68" t="str">
        <x:v>v/HBr60eS/InjHMTyOBg1Q==</x:v>
      </x:c>
      <x:c r="W99" s="68" t="str">
        <x:v>84IM/cTm6yKVp3XV1k0rtA==</x:v>
      </x:c>
      <x:c r="X99" s="68" t="str">
        <x:v>https://www.linkedin.com/company/vortoai?trk=public_jobs_jserp-result_job-search-card-subtitle</x:v>
      </x:c>
      <x:c r="Y99" s="68" t="str">
        <x:v>https://media.licdn.com/dms/image/v2/C4E0BAQFvpXBJoutK2Q/company-logo_100_100/company-logo_100_100/0/1640388251292/vortoai_logo?e=2147483647&amp;v=beta&amp;t=qnu0nBIHAkh51r78YyLXZ6qSiNwP-vDWTKsQtFtoGUU</x:v>
      </x:c>
      <x:c r="Z99" s="68"/>
      <x:c r="AA99" s="68" t="str">
        <x:v>&lt;strong&gt;About VORTO&lt;br&gt;&lt;br&gt;&lt;/strong&gt;Vorto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population.&lt;br&gt;&lt;br&gt;We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culture.&lt;br&gt;&lt;br&gt;&lt;strong&gt;Some Facts About Us&lt;br&gt;&lt;br&gt;&lt;/strong&gt;&lt;ul&gt;&lt;li&gt; 1+ million shipments per year&lt;/li&gt;&lt;li&gt; Over $1 billion of freight under management&lt;/li&gt;&lt;li&gt; Cashflow positive since inception&lt;/li&gt;&lt;li&gt; Backed by Golden Gate Capital, a Tier 1 private equity firm based in San Francisco, CA. Golden Gate has a diverse portfolio of companies with over $15 billion in committed capital.&lt;br&gt;&lt;br&gt;&lt;/li&gt;&lt;/ul&gt;&lt;strong&gt;About The Role&lt;br&gt;&lt;br&gt;&lt;/strong&gt;We are looking for an &lt;strong&gt;AI Engineer&lt;/strong&gt;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America.&lt;br&gt;&lt;br&gt;You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integration.&lt;br&gt;&lt;br&gt;Success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themselves.&lt;br&gt;&lt;br&gt;If you want to build AI that actually runs the real world — not demos, not prototypes, but production systems moving billions in freight — this is the role.&lt;br&gt;&lt;br&gt;&lt;strong&gt;Essential Duties And Responsibilities&lt;br&gt;&lt;br&gt;&lt;/strong&gt;&lt;ul&gt;&lt;li&gt;Design and develop production level backend software used by our automated agents.&lt;/li&gt;&lt;li&gt;Design and deploy AI agents capable of task execution and decision-making, leveraging retrieval-augmented generation (RAG) to improve accuracy and relevance.&lt;/li&gt;&lt;li&gt;Solve complex problems using mechanistic and statistical approaches.&lt;/li&gt;&lt;li&gt;Develop predictive models for commodity demand, supply forecasting, ETA predictions, and delay detection.&lt;/li&gt;&lt;li&gt;Optimize logistics simulations and market algorithms to improve operational efficiency.&lt;/li&gt;&lt;li&gt;Other duties as assigned.&lt;br&gt;&lt;br&gt;&lt;/li&gt;&lt;/ul&gt;&lt;strong&gt;Requirements&lt;br&gt;&lt;br&gt;&lt;/strong&gt;&lt;ul&gt;&lt;li&gt;Proven track record of independently delivering complex software engineering projects.&lt;/li&gt;&lt;li&gt;Experience with ML frameworks such as TensorFlow, PyTorch, or Keras.&lt;/li&gt;&lt;li&gt;Solid background in algorithms, optimization, neural networks, and reinforcement learning.&lt;/li&gt;&lt;li&gt;Advanced degree (MS preferred) in a quantitative field such as Computer Science or Engineering.&lt;br&gt;&lt;br&gt;&lt;/li&gt;&lt;/ul&gt;&lt;strong&gt;Benefits&lt;br&gt;&lt;br&gt;&lt;/strong&gt;At VORTO we are committed to developing our employees and providing them exciting opportunities to grow and prosper in their careers.&lt;br&gt;&lt;br&gt;We offer a competitive benefits package as well as numerous additional perks, including:&lt;br&gt;&lt;br&gt;&lt;ul&gt;&lt;li&gt;Competitive compensation package&lt;/li&gt;&lt;li&gt;Paid Time Off and Holidays&lt;/li&gt;&lt;li&gt;Health, Dental and Vision Insurance&lt;/li&gt;&lt;li&gt;401(k) retirement plan with company match&lt;/li&gt;&lt;li&gt;Flex and Health Savings Plans&lt;/li&gt;&lt;li&gt;Company-paid life and short-term disability insurance&lt;/li&gt;&lt;li&gt;Company-paid parking or RTD pass&lt;/li&gt;&lt;li&gt;Voluntary income protection benefits including Life, AD&amp;amp;D, Critical Illness, Hospital Indemnity, and Accident Protection Insurance&lt;/li&gt;&lt;li&gt;Tuition Assistance&lt;/li&gt;&lt;li&gt;Employee Assistance Program (EAP)&lt;/li&gt;&lt;li&gt;Free or discounted legal program&lt;/li&gt;&lt;li&gt;We supply the industry's best hardware and productivity software&lt;br&gt;&lt;br&gt;&lt;/li&gt;&lt;/ul&gt;&lt;em&gt;VORTO is an Equal Opportunity Employer.&lt;br&gt;&lt;br&gt;&lt;/em&gt;This position will be posted until a qualified candidate is hired.&lt;br&gt;&lt;br&gt;&lt;em&gt;Disclaimer: This job description is not designed to cover or contain a comprehensive listing of activities, duties or responsibilities that are required of the employee. Other duties, responsibilities and activities may change or be assigned.&lt;/em&gt;</x:v>
      </x:c>
      <x:c r="AB99" s="68" t="str">
        <x:v>About VORTO
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  Backed by Golden Gate Capital, a Tier 1 private equity firm based in San Francisco, CA. Golden Gate has a diverse portfolio of companies with over $15 billion in committed capital.
About The Role
We are looking for an AI Engineer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
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
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
If you want to build AI that actually runs the real world — not demos, not prototypes, but production systems moving billions in freight — this is the role.
Essential Duties And Responsibilities
- Design and develop production level backend software used by our automated agents.
- Design and deploy AI agents capable of task execution and decision-making, leveraging retrieval-augmented generation (RAG) to improve accuracy and relevance.
- Solve complex problems using mechanistic and statistical approaches.
- Develop predictive models for commodity demand, supply forecasting, ETA predictions, and delay detection.
- Optimize logistics simulations and market algorithms to improve operational efficiency.
- Other duties as assigned.
Requirements
- Proven track record of independently delivering complex software engineering projects.
- Experience with ML frameworks such as TensorFlow, PyTorch, or Keras.
- Solid background in algorithms, optimization, neural networks, and reinforcement learning.
- Advanced degree (MS preferred) in a quantitative field such as Computer Science or Engineering.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AD&amp;amp;D, Critical Illness, Hospital Indemnity, and Accident Protection Insurance
- Tuition Assistance
- Employee Assistance Program (EAP)
- Free or discounted legal program
- We supply the industry's best hardware and productivity software
VORTO is an Equal Opportunity Employer.
This position will be posted until a qualified candidate is hired.
Disclaimer: This job description is not designed to cover or contain a comprehensive listing of activities, duties or responsibilities that are required of the employee. Other duties, responsibilities and activities may change or be assigned.</x:v>
      </x:c>
      <x:c r="AC99" s="68" t="str">
        <x:v>Not Applicable</x:v>
      </x:c>
      <x:c r="AD99" s="68" t="str">
        <x:v>Full-time</x:v>
      </x:c>
      <x:c r="AE99" s="68" t="str">
        <x:v>Engineering and Information Technology</x:v>
      </x:c>
      <x:c r="AF99" s="68" t="str">
        <x:v>Transportation, Logistics, Supply Chain and Storage</x:v>
      </x:c>
      <x:c r="AG99" s="68" t="str">
        <x:v>https://www.linkedin.com/jobs/search/?position=1&amp;pageNum=0&amp;keywords=AI+Engineer&amp;location=United+States&amp;distance=0&amp;f_TPR=r604800</x:v>
      </x:c>
      <x:c r="AH99" s="68" t="str">
        <x:v>{'type': 'PostalAddress', 'streetAddress': '1515 Wazee St', 'addressLocality': 'Denver', 'addressRegion': 'Colorado', 'postalCode': '80202', 'addressCountry': 'US'}</x:v>
      </x:c>
      <x:c r="AI99" s="68" t="str">
        <x:v>https://www.vorto.ai</x:v>
      </x:c>
      <x:c r="AJ99" s="68" t="str">
        <x:v>VORTO is on a mission to reimagine the supply chain for a sustainable future.</x:v>
      </x:c>
      <x:c r="AK99" s="68"/>
      <x:c r="AL99" s="68"/>
      <x:c r="AM99" s="68"/>
      <x:c r="AN99" s="68"/>
      <x:c r="AO99" s="68"/>
      <x:c r="AP99" s="68"/>
    </x:row>
    <x:row r="100" s="25" customFormat="1" ht="22" customHeight="1">
      <x:c r="A100" s="68" t="str">
        <x:v>4440299388</x:v>
      </x:c>
      <x:c r="B100" s="68" t="str">
        <x:v>AI.ML Engineer (Google)</x:v>
      </x:c>
      <x:c r="C100" s="68" t="str">
        <x:v>Addison Group</x:v>
      </x:c>
      <x:c r="D100" s="68" t="str">
        <x:v>San Angelo Area</x:v>
      </x:c>
      <x:c r="E100" s="68" t="str">
        <x:v>Applied</x:v>
      </x:c>
      <x:c r="F100" s="68"/>
      <x:c r="G100" s="69"/>
      <x:c r="H100" s="85" t="str">
        <x:v>2026-08-06</x:v>
      </x:c>
      <x:c r="I100" s="85"/>
      <x:c r="J100" s="68" t="str">
        <x:v>200</x:v>
      </x:c>
      <x:c r="K100" s="70"/>
      <x:c r="L100" s="86"/>
      <x:c r="M100" s="87"/>
      <x:c r="N100" s="71"/>
      <x:c r="O100" s="88"/>
      <x:c r="P100" s="89"/>
      <x:c r="Q100" s="89"/>
      <x:c r="R100" s="89"/>
      <x:c r="S100" s="73"/>
      <x:c r="T100" s="68"/>
      <x:c r="U100" s="68" t="str">
        <x:v>https://www.linkedin.com/jobs/view/ai-ml-engineer-google-at-addison-group-4440299388?position=6&amp;pageNum=8&amp;refId=84IM%2FcTm6yKVp3XV1k0rtA%3D%3D&amp;trackingId=UstI%2FeE4512NdHWpJQOAAw%3D%3D</x:v>
      </x:c>
      <x:c r="V100" s="68" t="str">
        <x:v>UstI/eE4512NdHWpJQOAAw==</x:v>
      </x:c>
      <x:c r="W100" s="68" t="str">
        <x:v>84IM/cTm6yKVp3XV1k0rtA==</x:v>
      </x:c>
      <x:c r="X100" s="68" t="str">
        <x:v>https://www.linkedin.com/company/addisongroup?trk=public_jobs_jserp-result_job-search-card-subtitle</x:v>
      </x:c>
      <x:c r="Y100" s="68" t="str">
        <x:v>https://media.licdn.com/dms/image/v2/C560BAQGkWEu9IfrLsg/company-logo_100_100/company-logo_100_100/0/1657132506176/addisongroup_logo?e=2147483647&amp;v=beta&amp;t=WMT1RXVwxNZ7cicPct9lSOM4f6Un714pwyAoDRhWIYM</x:v>
      </x:c>
      <x:c r="Z100" s="68"/>
      <x:c r="AA100" s="68" t="str">
        <x:v>&lt;strong&gt;Job Title:&lt;/strong&gt; AI.ML Engineer (Google)&lt;br&gt;&lt;br&gt;&lt;strong&gt;Compensation:&lt;/strong&gt; $125000 / Year&lt;br&gt;&lt;br&gt;&lt;strong&gt;Benefits:&lt;/strong&gt; Medical insurance, Vision insurance, Dental insurance, 401(k), Disability insurance&lt;br&gt;&lt;br&gt;The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environments.&lt;br&gt;&lt;br&gt;Key Responsibilities&lt;br&gt;&lt;br&gt;&lt;ul&gt;&lt;li&gt;Design and deploy AI/ML solutions using Google Cloud Platform tools such as Vertex AI, Gemini APIs, BigQuery, and Dataflow.&lt;/li&gt;&lt;li&gt;Develop Generative AI applications including document processing, knowledge retrieval, claims summarization, and chatbot solutions.&lt;/li&gt;&lt;li&gt;Implement prompt engineering, RAG pipelines, model tuning, and MLOps best practices.&lt;/li&gt;&lt;li&gt;Build and maintain end-to-end ML pipelines, including deployment, monitoring, and automated retraining.&lt;/li&gt;&lt;li&gt;Ensure solutions meet security, compliance, and governance standards including SOC 1, SOC 2, HIPAA, and CMMC-aligned controls.&lt;/li&gt;&lt;li&gt;Partner with business stakeholders to translate operational challenges into scalable AI solutions.&lt;/li&gt;&lt;li&gt;Communicate technical concepts to both technical and non-technical audiences and support responsible AI adoption.&lt;br&gt;&lt;br&gt;&lt;/li&gt;&lt;/ul&gt;&lt;strong&gt;Qualifications&lt;br&gt;&lt;br&gt;&lt;/strong&gt;&lt;ul&gt;&lt;li&gt;Bachelor’s degree in Computer Science, Engineering, Data Science, or related field.&lt;/li&gt;&lt;li&gt;3–5 years of experience in AI/ML engineering or data science.&lt;/li&gt;&lt;li&gt;Strong experience with GCP services, Python, and ML frameworks such as TensorFlow, PyTorch, or scikit-learn.&lt;/li&gt;&lt;li&gt;Experience with Generative AI, LLMs, prompt engineering, and RAG architectures.&lt;/li&gt;&lt;li&gt;Knowledge of cloud security, IAM, encryption, and secure development practices.&lt;/li&gt;&lt;li&gt;Preferred experience in healthcare, insurance, or other regulated industries, along with familiarity with HIPAA, SOC compliance, and AI governance.&lt;br&gt;&lt;br&gt;&lt;/li&gt;&lt;/ul&gt;&lt;em&gt;Addison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request.&lt;/em&gt;</x:v>
      </x:c>
      <x:c r="AB100" s="68" t="str">
        <x:v>Job Title: AI.ML Engineer (Google)
Compensation: $125000 / Year
Benefits: Medical insurance, Vision insurance, Dental insurance, 401(k), Disability insurance
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
Key Responsibilities
- Design and deploy AI/ML solutions using Google Cloud Platform tools such as Vertex AI, Gemini APIs, BigQuery, and Dataflow.
- Develop Generative AI applications including document processing, knowledge retrieval, claims summarization, and chatbot solutions.
- Implement prompt engineering, RAG pipelines, model tuning, and MLOps best practices.
- Build and maintain end-to-end ML pipelines, including deployment, monitoring, and automated retraining.
- Ensure solutions meet security, compliance, and governance standards including SOC 1, SOC 2, HIPAA, and CMMC-aligned controls.
- Partner with business stakeholders to translate operational challenges into scalable AI solutions.
- Communicate technical concepts to both technical and non-technical audiences and support responsible AI adoption.
Qualifications
- Bachelor’s degree in Computer Science, Engineering, Data Science, or related field.
- 3–5 years of experience in AI/ML engineering or data science.
- Strong experience with GCP services, Python, and ML frameworks such as TensorFlow, PyTorch, or scikit-learn.
- Experience with Generative AI, LLMs, prompt engineering, and RAG architectures.
- Knowledge of cloud security, IAM, encryption, and secure development practices.
- Preferred experience in healthcare, insurance, or other regulated industries, along with familiarity with HIPAA, SOC compliance, and AI governance.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x:v>
      </x:c>
      <x:c r="AC100" s="68" t="str">
        <x:v>Not Applicable</x:v>
      </x:c>
      <x:c r="AD100" s="68" t="str">
        <x:v>Other</x:v>
      </x:c>
      <x:c r="AE100" s="68" t="str">
        <x:v>Engineering and Information Technology</x:v>
      </x:c>
      <x:c r="AF100" s="68" t="str">
        <x:v>Staffing and Recruiting</x:v>
      </x:c>
      <x:c r="AG100" s="68" t="str">
        <x:v>https://www.linkedin.com/jobs/search/?position=1&amp;pageNum=0&amp;keywords=AI+Engineer&amp;location=United+States&amp;distance=0&amp;f_TPR=r604800</x:v>
      </x:c>
      <x:c r="AH100" s="68" t="str">
        <x:v>{'type': 'PostalAddress', 'streetAddress': '125 S Wacker Dr', 'addressLocality': 'Chicago', 'addressRegion': 'Illinois', 'postalCode': '60606', 'addressCountry': 'US'}</x:v>
      </x:c>
      <x:c r="AI100" s="68" t="str">
        <x:v>https://www.addisongroup.com</x:v>
      </x:c>
      <x:c r="AJ100" s="68" t="str">
        <x:v>No one gets talent like Addison Group.®</x:v>
      </x:c>
      <x:c r="AK100" s="68"/>
      <x:c r="AL100" s="68"/>
      <x:c r="AM100" s="68"/>
      <x:c r="AN100" s="68"/>
      <x:c r="AO100" s="68"/>
      <x:c r="AP100" s="68"/>
    </x:row>
    <x:row r="101" s="25" customFormat="1" ht="22" customHeight="1">
      <x:c r="A101" s="68" t="str">
        <x:v>4450082999</x:v>
      </x:c>
      <x:c r="B101" s="68" t="str">
        <x:v>Member of Technical Staff - AI</x:v>
      </x:c>
      <x:c r="C101" s="68" t="str">
        <x:v>Xcede</x:v>
      </x:c>
      <x:c r="D101" s="68" t="str">
        <x:v>San Francisco Bay Area</x:v>
      </x:c>
      <x:c r="E101" s="68" t="str">
        <x:v>Applied</x:v>
      </x:c>
      <x:c r="F101" s="68"/>
      <x:c r="G101" s="69"/>
      <x:c r="H101" s="85" t="str">
        <x:v>2026-08-07</x:v>
      </x:c>
      <x:c r="I101" s="85"/>
      <x:c r="J101" s="68" t="str">
        <x:v>71</x:v>
      </x:c>
      <x:c r="K101" s="70" t="str">
        <x:v>$200,000.00/yr - $300,000.00/yr</x:v>
      </x:c>
      <x:c r="L101" s="86"/>
      <x:c r="M101" s="87"/>
      <x:c r="N101" s="71"/>
      <x:c r="O101" s="88"/>
      <x:c r="P101" s="89"/>
      <x:c r="Q101" s="89"/>
      <x:c r="R101" s="89"/>
      <x:c r="S101" s="73"/>
      <x:c r="T101" s="68"/>
      <x:c r="U101" s="68" t="str">
        <x:v>https://www.linkedin.com/jobs/view/member-of-technical-staff-ai-at-xcede-4450082999?position=4&amp;pageNum=8&amp;refId=84IM%2FcTm6yKVp3XV1k0rtA%3D%3D&amp;trackingId=VnMtvhZjdSVdKpBjUOs6aA%3D%3D</x:v>
      </x:c>
      <x:c r="V101" s="68" t="str">
        <x:v>VnMtvhZjdSVdKpBjUOs6aA==</x:v>
      </x:c>
      <x:c r="W101" s="68" t="str">
        <x:v>84IM/cTm6yKVp3XV1k0rtA==</x:v>
      </x:c>
      <x:c r="X101" s="68" t="str">
        <x:v>https://uk.linkedin.com/company/xcede?trk=public_jobs_jserp-result_job-search-card-subtitle</x:v>
      </x:c>
      <x:c r="Y101" s="68" t="str">
        <x:v>https://media.licdn.com/dms/image/v2/D4E0BAQG3KFUZwuh-Ag/company-logo_100_100/B4EZ88MS5WJkAI-/0/1783421284192/xcede_logo?e=2147483647&amp;v=beta&amp;t=7xj5ULcZWAVwCsOWKsmdMTkkMOfv-0nkPRwzKd5Wvl0</x:v>
      </x:c>
      <x:c r="Z101" s="68"/>
      <x:c r="AA101" s="68" t="str">
        <x:v>&lt;p&gt;A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x:v>
      </x:c>
      <x:c r="AB101" s="68" t="str">
        <x:v>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x:v>
      </x:c>
      <x:c r="AC101" s="68" t="str">
        <x:v>Mid-Senior level</x:v>
      </x:c>
      <x:c r="AD101" s="68" t="str">
        <x:v>Full-time</x:v>
      </x:c>
      <x:c r="AE101" s="68"/>
      <x:c r="AF101" s="68" t="str">
        <x:v>Artificial Intelligence, Software Development, and IT System Custom Software Development</x:v>
      </x:c>
      <x:c r="AG101" s="68" t="str">
        <x:v>https://www.linkedin.com/jobs/search/?position=1&amp;pageNum=0&amp;keywords=AI+Engineer&amp;location=United+States&amp;distance=0&amp;f_TPR=r604800</x:v>
      </x:c>
      <x:c r="AH101" s="68" t="str">
        <x:v>{'type': 'PostalAddress', 'streetAddress': '24 Eversholt Street', 'addressLocality': 'London', 'addressRegion': 'England', 'postalCode': 'NW1 1AD', 'addressCountry': 'GB'}</x:v>
      </x:c>
      <x:c r="AI101" s="68" t="str">
        <x:v>https://www.xcede.com</x:v>
      </x:c>
      <x:c r="AJ101" s="68" t="str">
        <x:v>We source and select top talent across all technology sectors globally.</x:v>
      </x:c>
      <x:c r="AK101" s="68"/>
      <x:c r="AL101" s="68"/>
      <x:c r="AM101" s="68"/>
      <x:c r="AN101" s="68"/>
      <x:c r="AO101" s="68"/>
      <x:c r="AP101" s="68"/>
    </x:row>
    <x:row r="102" s="25" customFormat="1" ht="22" customHeight="1">
      <x:c r="A102" s="68" t="str">
        <x:v>4450722743</x:v>
      </x:c>
      <x:c r="B102" s="68" t="str">
        <x:v>Software Engineer</x:v>
      </x:c>
      <x:c r="C102" s="68" t="str">
        <x:v>Raydar</x:v>
      </x:c>
      <x:c r="D102" s="68" t="str">
        <x:v>Chicago, IL</x:v>
      </x:c>
      <x:c r="E102" s="68" t="str">
        <x:v>Applied</x:v>
      </x:c>
      <x:c r="F102" s="68"/>
      <x:c r="G102" s="69"/>
      <x:c r="H102" s="85" t="str">
        <x:v>2026-08-07</x:v>
      </x:c>
      <x:c r="I102" s="85"/>
      <x:c r="J102" s="68" t="str">
        <x:v>129</x:v>
      </x:c>
      <x:c r="K102" s="70"/>
      <x:c r="L102" s="86"/>
      <x:c r="M102" s="87"/>
      <x:c r="N102" s="71"/>
      <x:c r="O102" s="88"/>
      <x:c r="P102" s="89"/>
      <x:c r="Q102" s="89"/>
      <x:c r="R102" s="89"/>
      <x:c r="S102" s="73"/>
      <x:c r="T102" s="68"/>
      <x:c r="U102" s="68" t="str">
        <x:v>https://www.linkedin.com/jobs/view/software-engineer-at-raydar-4450722743?position=10&amp;pageNum=8&amp;refId=84IM%2FcTm6yKVp3XV1k0rtA%3D%3D&amp;trackingId=eShuITZMDybyUEnlF%2FAA9A%3D%3D</x:v>
      </x:c>
      <x:c r="V102" s="68" t="str">
        <x:v>eShuITZMDybyUEnlF/AA9A==</x:v>
      </x:c>
      <x:c r="W102" s="68" t="str">
        <x:v>84IM/cTm6yKVp3XV1k0rtA==</x:v>
      </x:c>
      <x:c r="X102" s="68" t="str">
        <x:v>https://www.linkedin.com/company/raydar-xyz?trk=public_jobs_jserp-result_job-search-card-subtitle</x:v>
      </x:c>
      <x:c r="Y102" s="68" t="str">
        <x:v>https://media.licdn.com/dms/image/v2/C560BAQG1fXMvh_19dg/company-logo_100_100/company-logo_100_100/0/1669078545750/meta_work_logo?e=2147483647&amp;v=beta&amp;t=MPzbmSxHzV-_asX6v140rhlRAYWtqYzO1arcLaIyl-o</x:v>
      </x:c>
      <x:c r="Z102" s="68"/>
      <x:c r="AA102" s="68" t="str">
        <x:v>&lt;p&gt;Founding Forward Deployed Engineer&lt;/p&gt;&lt;p&gt;&lt;br&gt;&lt;/p&gt;&lt;p&gt;About the company&lt;/p&gt;&lt;p&gt;&lt;br&gt;&lt;/p&gt;&lt;p&gt;Our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place.&lt;/p&gt;&lt;p&gt;&lt;br&gt;&lt;/p&gt;&lt;p&gt;The role and why it matters&lt;/p&gt;&lt;p&gt;&lt;br&gt;&lt;/p&gt;&lt;p&gt;This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capabilities.&lt;/p&gt;&lt;p&gt;&lt;br&gt;&lt;/p&gt;&lt;p&gt;What you'll do&lt;/p&gt;&lt;p&gt;&lt;br&gt;&lt;/p&gt;&lt;p&gt;• Run discovery with executives and operators, translate business problems into product specifications, and build AI workflows from scratch.&lt;/p&gt;&lt;p&gt;• Own full deployment lifecycles from zero-to-one implementation through customer adoption.&lt;/p&gt;&lt;p&gt;• Work on-site with customer decision-makers and technical teams across portfolio companies.&lt;/p&gt;&lt;p&gt;• Build shared data models, ontologies, and workflow infrastructure that connect deployments into reusable vertical products.&lt;/p&gt;&lt;p&gt;• Partner directly with the co-founders, Head of AI, and portfolio CTO to define and execute the applied-AI strategy.&lt;/p&gt;&lt;p&gt;• Help establish the Forward Deployed Engineering pod, operating model, and technical standards.&lt;/p&gt;&lt;p&gt;&lt;br&gt;&lt;/p&gt;&lt;p&gt;What we're looking for&lt;/p&gt;&lt;p&gt;&lt;br&gt;&lt;/p&gt;&lt;p&gt;• 3 to 5 years of hands-on software engineering or forward-deployed engineering experience.&lt;/p&gt;&lt;p&gt;• A track record leading technical deployments from discovery through production and adoption.&lt;/p&gt;&lt;p&gt;• Strong full-stack engineering, systems architecture, and data-pipeline fundamentals.&lt;/p&gt;&lt;p&gt;• Experience building with LLMs, applied machine learning, or AI workflow systems.&lt;/p&gt;&lt;p&gt;• Ability to work directly with C-level customers and translate ambiguous operational needs into shipped products.&lt;/p&gt;&lt;p&gt;• Founder-minded ownership, autonomy, and comfort operating without extensive structure.&lt;/p&gt;&lt;p&gt;• Willingness to travel frequently to customer sites.&lt;/p&gt;&lt;p&gt;&lt;br&gt;&lt;/p&gt;&lt;p&gt;Bonus points&lt;/p&gt;&lt;p&gt;&lt;br&gt;&lt;/p&gt;&lt;p&gt;• Experience productizing patterns across multiple deployments or customers.&lt;/p&gt;&lt;p&gt;• Experience with vertical SaaS, enterprise software, or portfolio-company environments.&lt;/p&gt;&lt;p&gt;• Familiarity with ontology-driven platforms or centralized enterprise data models.&lt;/p&gt;&lt;p&gt;• Experience helping build an engineering team or new technical function.&lt;/p&gt;&lt;p&gt;&lt;br&gt;&lt;/p&gt;&lt;p&gt;Location and work model&lt;/p&gt;&lt;p&gt;&lt;br&gt;&lt;/p&gt;&lt;p&gt;• Full-time role based in New York City or Chicago.&lt;/p&gt;&lt;p&gt;• Five days per week in the office, with frequent customer travel.&lt;/p&gt;&lt;p&gt;• Candidates must already be authorized to work in the United States without sponsorship.&lt;/p&gt;&lt;p&gt;&lt;br&gt;&lt;/p&gt;&lt;p&gt;Compensation and benefits&lt;/p&gt;&lt;p&gt;&lt;br&gt;&lt;/p&gt;&lt;p&gt;• $200,000 to $300,000 base salary.&lt;/p&gt;&lt;p&gt;• Competitive equity.&lt;/p&gt;&lt;p&gt;• Founding-level ownership of a new applied-AI business.&lt;/p&gt;&lt;p&gt;• Direct access to company founders, portfolio executives, and customer decision-makers.&lt;/p&gt;</x:v>
      </x:c>
      <x:c r="AB102" s="68" t="str">
        <x:v>
Founding Forward Deployed Engineer
About the company
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
The role and why it matters
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
What you'll do
• Run discovery with executives and operators, translate business problems into product specifications, and build AI workflows from scratch.
• Own full deployment lifecycles from zero-to-one implementation through customer adoption.
• Work on-site with customer decision-makers and technical teams across portfolio companies.
• Build shared data models, ontologies, and workflow infrastructure that connect deployments into reusable vertical products.
• Partner directly with the co-founders, Head of AI, and portfolio CTO to define and execute the applied-AI strategy.
• Help establish the Forward Deployed Engineering pod, operating model, and technical standards.
What we're looking for
• 3 to 5 years of hands-on software engineering or forward-deployed engineering experience.
• A track record leading technical deployments from discovery through production and adoption.
• Strong full-stack engineering, systems architecture, and data-pipeline fundamentals.
• Experience building with LLMs, applied machine learning, or AI workflow systems.
• Ability to work directly with C-level customers and translate ambiguous operational needs into shipped products.
• Founder-minded ownership, autonomy, and comfort operating without extensive structure.
• Willingness to travel frequently to customer sites.
Bonus points
• Experience productizing patterns across multiple deployments or customers.
• Experience with vertical SaaS, enterprise software, or portfolio-company environments.
• Familiarity with ontology-driven platforms or centralized enterprise data models.
• Experience helping build an engineering team or new technical function.
Location and work model
• Full-time role based in New York City or Chicago.
• Five days per week in the office, with frequent customer travel.
• Candidates must already be authorized to work in the United States without sponsorship.
Compensation and benefits
• $200,000 to $300,000 base salary.
• Competitive equity.
• Founding-level ownership of a new applied-AI business.
• Direct access to company founders, portfolio executives, and customer decision-makers.</x:v>
      </x:c>
      <x:c r="AC102" s="68" t="str">
        <x:v>Mid-Senior level</x:v>
      </x:c>
      <x:c r="AD102" s="68" t="str">
        <x:v>Full-time</x:v>
      </x:c>
      <x:c r="AE102" s="68" t="str">
        <x:v>Engineering</x:v>
      </x:c>
      <x:c r="AF102" s="68" t="str">
        <x:v>Business Consulting and Services</x:v>
      </x:c>
      <x:c r="AG102" s="68" t="str">
        <x:v>https://www.linkedin.com/jobs/search/?position=1&amp;pageNum=0&amp;keywords=AI+Engineer&amp;location=United+States&amp;distance=0&amp;f_TPR=r604800</x:v>
      </x:c>
      <x:c r="AH102" s="68" t="str">
        <x:v>{'type': 'PostalAddress', 'streetAddress': '1514 17th St', 'addressLocality': 'Santa Monica', 'addressRegion': 'California', 'postalCode': '90404', 'addressCountry': 'US'}</x:v>
      </x:c>
      <x:c r="AI102" s="68" t="str">
        <x:v>http://raydar.xyz</x:v>
      </x:c>
      <x:c r="AJ102" s="68" t="str">
        <x:v>Creating solutions for the future</x:v>
      </x:c>
      <x:c r="AK102" s="68"/>
      <x:c r="AL102" s="68"/>
      <x:c r="AM102" s="68"/>
      <x:c r="AN102" s="68"/>
      <x:c r="AO102" s="68"/>
      <x:c r="AP102" s="68"/>
    </x:row>
    <x:row r="103" s="25" customFormat="1" ht="22" customHeight="1">
      <x:c r="A103" s="68" t="str">
        <x:v>4452468170</x:v>
      </x:c>
      <x:c r="B103" s="68" t="str">
        <x:v>AI / ML Engineer</x:v>
      </x:c>
      <x:c r="C103" s="68" t="str">
        <x:v>Nelnet Campus Commerce</x:v>
      </x:c>
      <x:c r="D103" s="68" t="str">
        <x:v>Boise, ID</x:v>
      </x:c>
      <x:c r="E103" s="68" t="str">
        <x:v>Failed</x:v>
      </x:c>
      <x:c r="F103" s="68"/>
      <x:c r="G103" s="69"/>
      <x:c r="H103" s="85" t="str">
        <x:v>2026-08-10</x:v>
      </x:c>
      <x:c r="I103" s="85"/>
      <x:c r="J103" s="68" t="str">
        <x:v>25</x:v>
      </x:c>
      <x:c r="K103" s="70"/>
      <x:c r="L103" s="86"/>
      <x:c r="M103" s="87"/>
      <x:c r="N103" s="71"/>
      <x:c r="O103" s="88"/>
      <x:c r="P103" s="89"/>
      <x:c r="Q103" s="89"/>
      <x:c r="R103" s="89"/>
      <x:c r="S103" s="73"/>
      <x:c r="T103" s="68"/>
      <x:c r="U103" s="68" t="str">
        <x:v>https://www.linkedin.com/jobs/view/ai-ml-engineer-at-nelnet-campus-commerce-4452468170?position=8&amp;pageNum=8&amp;refId=84IM%2FcTm6yKVp3XV1k0rtA%3D%3D&amp;trackingId=EOZHdq2Ru%2FCHQIpG9p9log%3D%3D</x:v>
      </x:c>
      <x:c r="V103" s="68" t="str">
        <x:v>EOZHdq2Ru/CHQIpG9p9log==</x:v>
      </x:c>
      <x:c r="W103" s="68" t="str">
        <x:v>84IM/cTm6yKVp3XV1k0rtA==</x:v>
      </x:c>
      <x:c r="X103" s="68" t="str">
        <x:v>https://www.linkedin.com/company/nelnetcampuscommerce?trk=public_jobs_jserp-result_job-search-card-subtitle</x:v>
      </x:c>
      <x:c r="Y103" s="68" t="str">
        <x:v>https://media.licdn.com/dms/image/v2/C4E0BAQE7kfuGpsWyUQ/company-logo_100_100/company-logo_100_100/0/1630640112825/nelnetcampuscommerce_logo?e=2147483647&amp;v=beta&amp;t=QH9X7O4L09VsB8AQRb7fTq9CESkeWY9791sJnTBPETQ</x:v>
      </x:c>
      <x:c r="Z103" s="68"/>
      <x:c r="AA103" s="68" t="str">
        <x:v>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Responsibilities&lt;br&gt;&lt;br&gt;&lt;ul&gt;&lt;li&gt;Agent Development: Design, build, and deploy LLM-powered agents to solve concrete business problems. This includes tool use, multi-step reasoning, orchestration, and human-in-the-loop patterns.&lt;/li&gt;&lt;li&gt;Operating the Existing Fleet: Own the day-to-day health of agents already in production: monitor behavior, diagnose failures, tune prompts and tooling, and manage model and dependency upgrades without regressing quality.&lt;/li&gt;&lt;li&gt;Evaluation: Build and maintain evaluation suites for agent systems, including offline test sets, LLM-as-judge scoring, regression testing, and online metrics.&lt;/li&gt;&lt;li&gt;Observability and Monitoring: Instrument agents end to end, including traces, tool calls, token usage, latency, cost, and outcome quality and act on what the data shows.&lt;/li&gt;&lt;li&gt;Context and Retrieval Engineering: Design retrieval and context strategies (RAG, structured data access, caching, chunking, ranking) that give agents the right information at the right time.&lt;/li&gt;&lt;li&gt;Tooling and Integrations: Build and maintain the tools, APIs, and connectors agents rely on, ensuring safe and reliable interaction with internal systems and data.&lt;/li&gt;&lt;li&gt;Scalability and Infrastructure: Design and implement scalable AI pipelines and services on AWS, using infrastructure as code (Terraform) and CI/CD to automate deployment and maintenance.&lt;/li&gt;&lt;li&gt;Guardrails and Responsible AI: Implement safety controls, input/output validation, access boundaries, and audit trails appropriate to a regulated environment.&lt;/li&gt;&lt;li&gt;Expanding Agentic Adoption: Partner with teams across the organization to identify where agents add real value, prototype quickly, and turn one-off wins into reusable frameworks and standards.&lt;/li&gt;&lt;li&gt;Documentation: Maintain clear documentation of agent architectures, prompts, tool contracts, data flows, evaluation results, and known limitations.&lt;/li&gt;&lt;li&gt;Innovation: Track the fast-moving foundation model and agent tooling landscape, and bring what's genuinely useful into our stack.&lt;/li&gt;&lt;li&gt;Mentorship: Provide guidance to team members on agent design, evaluation practices, and applied AI best practices.&lt;br&gt;&lt;br&gt;&lt;/li&gt;&lt;/ul&gt;Key Competencies&lt;br&gt;&lt;br&gt;&lt;ul&gt;&lt;li&gt;Strong programming skills in Python.&lt;/li&gt;&lt;li&gt;Working knowledge of AWS services for AI workloads (e.g., Bedrock, Lambda, ECS/Fargate, S3, OpenSearch, Step Functions).&lt;/li&gt;&lt;li&gt;Familiarity with agent frameworks and orchestration tooling, and sound judgment about when a framework helps versus when to build directly.&lt;/li&gt;&lt;li&gt;Practical prompt and context engineering skill, with an evaluation-driven approach to improving them.&lt;/li&gt;&lt;li&gt;Experience with infrastructure as code (IaC) tools like Terraform.&lt;/li&gt;&lt;li&gt;Proficiency using CI/CD pipelines to automate testing and deployment of AI workflows.&lt;/li&gt;&lt;li&gt;Experience with containerization technologies like Docker and orchestration tools like Kubernetes.&lt;/li&gt;&lt;li&gt;Solid grounding in machine learning fundamentals and statistical reasoning, sufficient to evaluate systems rigorously and know when a non-LLM approach is the better answer.&lt;/li&gt;&lt;li&gt;Excellent problem-solving skills and the ability to work in a collaborative environment.&lt;/li&gt;&lt;li&gt;Strong critical thinking, analytical, and quantitative problem-solving ability.&lt;/li&gt;&lt;li&gt;Strong organization, time management, and coordination skills to drive projects to completion.&lt;/li&gt;&lt;li&gt;Ability to communicate AI capabilities and limitations clearly to non-technical stakeholders.&lt;/li&gt;&lt;li&gt;Ability to lead end-to-end development of new products.&lt;br&gt;&lt;br&gt;&lt;/li&gt;&lt;/ul&gt;Nelnet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Qualifications&lt;br&gt;&lt;br&gt;&lt;ul&gt;&lt;li&gt;Bachelor’s or Master's degree in Computer Science, Machine Learning, Artificial Intelligence, or a related field (or equivalent experience).&lt;/li&gt;&lt;li&gt;U.S. Citizenship AND the ability to obtain a U.S. 6C Security Clearance.&lt;/li&gt;&lt;li&gt;Minimum of 2 years of experience in machine learning engineering, AI engineering, software engineering, or related roles.&lt;/li&gt;&lt;li&gt;Demonstrated experience building agentic systems with large language models. Examples include tool calling, orchestration, multi-step workflows - not just single-turn prompting.&lt;/li&gt;&lt;li&gt;Hands-on experience evaluating LLM and agent systems, including designing eval sets and interpreting results to drive iteration.&lt;/li&gt;&lt;li&gt;Experience deploying and supporting AI or ML systems in production environments.&lt;/li&gt;&lt;li&gt;Experience with retrieval-augmented generation and other approaches to grounding models in enterprise data.&lt;br&gt;&lt;br&gt;&lt;/li&gt;&lt;/ul&gt;Starting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x:v>
      </x:c>
      <x:c r="AB103" s="68" t="str">
        <x:v>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
- Agent Development: Design, build, and deploy LLM-powered agents to solve concrete business problems. This includes tool use, multi-step reasoning, orchestration, and human-in-the-loop patterns.
- Operating the Existing Fleet: Own the day-to-day health of agents already in production: monitor behavior, diagnose failures, tune prompts and tooling, and manage model and dependency upgrades without regressing quality.
- Evaluation: Build and maintain evaluation suites for agent systems, including offline test sets, LLM-as-judge scoring, regression testing, and online metrics.
- Observability and Monitoring: Instrument agents end to end, including traces, tool calls, token usage, latency, cost, and outcome quality and act on what the data shows.
- Context and Retrieval Engineering: Design retrieval and context strategies (RAG, structured data access, caching, chunking, ranking) that give agents the right information at the right time.
- Tooling and Integrations: Build and maintain the tools, APIs, and connectors agents rely on, ensuring safe and reliable interaction with internal systems and data.
- Scalability and Infrastructure: Design and implement scalable AI pipelines and services on AWS, using infrastructure as code (Terraform) and CI/CD to automate deployment and maintenance.
- Guardrails and Responsible AI: Implement safety controls, input/output validation, access boundaries, and audit trails appropriate to a regulated environment.
- Expanding Agentic Adoption: Partner with teams across the organization to identify where agents add real value, prototype quickly, and turn one-off wins into reusable frameworks and standards.
- Documentation: Maintain clear documentation of agent architectures, prompts, tool contracts, data flows, evaluation results, and known limitations.
- Innovation: Track the fast-moving foundation model and agent tooling landscape, and bring what's genuinely useful into our stack.
- Mentorship: Provide guidance to team members on agent design, evaluation practices, and applied AI best practices.
Key Competencies
- Strong programming skills in Python.
- Working knowledge of AWS services for AI workloads (e.g., Bedrock, Lambda, ECS/Fargate, S3, OpenSearch, Step Functions).
- Familiarity with agent frameworks and orchestration tooling, and sound judgment about when a framework helps versus when to build directly.
- Practical prompt and context engineering skill, with an evaluation-driven approach to improving them.
- Experience with infrastructure as code (IaC) tools like Terraform.
- Proficiency using CI/CD pipelines to automate testing and deployment of AI workflows.
- Experience with containerization technologies like Docker and orchestration tools like Kubernetes.
- Solid grounding in machine learning fundamentals and statistical reasoning, sufficient to evaluate systems rigorously and know when a non-LLM approach is the better answer.
- Excellent problem-solving skills and the ability to work in a collaborative environment.
- Strong critical thinking, analytical, and quantitative problem-solving ability.
- Strong organization, time management, and coordination skills to drive projects to completion.
- Ability to communicate AI capabilities and limitations clearly to non-technical stakeholders.
- Ability to lead end-to-end development of new products.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
- Bachelor’s or Master's degree in Computer Science, Machine Learning, Artificial Intelligence, or a related field (or equivalent experience).
- U.S. Citizenship AND the ability to obtain a U.S. 6C Security Clearance.
- Minimum of 2 years of experience in machine learning engineering, AI engineering, software engineering, or related roles.
- Demonstrated experience building agentic systems with large language models. Examples include tool calling, orchestration, multi-step workflows - not just single-turn prompting.
- Hands-on experience evaluating LLM and agent systems, including designing eval sets and interpreting results to drive iteration.
- Experience deploying and supporting AI or ML systems in production environments.
- Experience with retrieval-augmented generation and other approaches to grounding models in enterprise data.
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x:v>
      </x:c>
      <x:c r="AC103" s="68" t="str">
        <x:v>Not Applicable</x:v>
      </x:c>
      <x:c r="AD103" s="68" t="str">
        <x:v>Full-time</x:v>
      </x:c>
      <x:c r="AE103" s="68" t="str">
        <x:v>Engineering and Information Technology</x:v>
      </x:c>
      <x:c r="AF103" s="68" t="str">
        <x:v>Industrial Machinery Manufacturing</x:v>
      </x:c>
      <x:c r="AG103" s="68" t="str">
        <x:v>https://www.linkedin.com/jobs/search/?position=1&amp;pageNum=0&amp;keywords=AI+Engineer&amp;location=United+States&amp;distance=0&amp;f_TPR=r604800</x:v>
      </x:c>
      <x:c r="AH103" s="68" t="str">
        <x:v>{'type': 'PostalAddress', 'streetAddress': '121 South 13th Street', 'addressLocality': 'Lincoln', 'addressRegion': 'NE', 'postalCode': '68508', 'addressCountry': 'US'}</x:v>
      </x:c>
      <x:c r="AI103" s="68" t="str">
        <x:v>http://CampusCommerce.com</x:v>
      </x:c>
      <x:c r="AJ103" s="68" t="str">
        <x:v>Payment technology for a smarter campus.</x:v>
      </x:c>
      <x:c r="AK103" s="68"/>
      <x:c r="AL103" s="68"/>
      <x:c r="AM103" s="68"/>
      <x:c r="AN103" s="68"/>
      <x:c r="AO103" s="68"/>
      <x:c r="AP103" s="68"/>
    </x:row>
    <x:row r="104" s="25" customFormat="1" ht="22" customHeight="1">
      <x:c r="A104" s="68" t="str">
        <x:v>4451496049</x:v>
      </x:c>
      <x:c r="B104" s="68" t="str">
        <x:v>AI Engineer III</x:v>
      </x:c>
      <x:c r="C104" s="68" t="str">
        <x:v>Federal Express Corporation</x:v>
      </x:c>
      <x:c r="D104" s="68" t="str">
        <x:v>Memphis, TN</x:v>
      </x:c>
      <x:c r="E104" s="68" t="str">
        <x:v>Failed</x:v>
      </x:c>
      <x:c r="F104" s="68"/>
      <x:c r="G104" s="69"/>
      <x:c r="H104" s="85" t="str">
        <x:v>2026-08-11</x:v>
      </x:c>
      <x:c r="I104" s="85"/>
      <x:c r="J104" s="68" t="str">
        <x:v>192</x:v>
      </x:c>
      <x:c r="K104" s="70"/>
      <x:c r="L104" s="86"/>
      <x:c r="M104" s="87"/>
      <x:c r="N104" s="71"/>
      <x:c r="O104" s="88"/>
      <x:c r="P104" s="89"/>
      <x:c r="Q104" s="89"/>
      <x:c r="R104" s="89"/>
      <x:c r="S104" s="73"/>
      <x:c r="T104" s="68"/>
      <x:c r="U104" s="68" t="str">
        <x:v>https://www.linkedin.com/jobs/view/ai-engineer-iii-at-federal-express-corporation-4451496049?position=9&amp;pageNum=8&amp;refId=84IM%2FcTm6yKVp3XV1k0rtA%3D%3D&amp;trackingId=UozsolBIoo78xjGPttKhZg%3D%3D</x:v>
      </x:c>
      <x:c r="V104" s="68" t="str">
        <x:v>UozsolBIoo78xjGPttKhZg==</x:v>
      </x:c>
      <x:c r="W104" s="68" t="str">
        <x:v>84IM/cTm6yKVp3XV1k0rtA==</x:v>
      </x:c>
      <x:c r="X104" s="68" t="str">
        <x:v>https://www.linkedin.com/company/federal-express-corporation?trk=public_jobs_jserp-result_job-search-card-subtitle</x:v>
      </x:c>
      <x:c r="Y104" s="68" t="str">
        <x:v>https://media.licdn.com/dms/image/v2/D560BAQFGaAsu5b7WNQ/company-logo_100_100/company-logo_100_100/0/1719257176690?e=2147483647&amp;v=beta&amp;t=k2Ay2UAS7-ODsn_9W2UcfNdR_Jf-Sh34WTfg0O8Uj88</x:v>
      </x:c>
      <x:c r="Z104" s="68"/>
      <x:c r="AA104" s="68" t="str">
        <x:v>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services.&lt;br&gt;&lt;br&gt;&lt;strong&gt;Job Responsibilities&lt;br&gt;&lt;br&gt;&lt;/strong&gt;Model Development &amp;amp; Implementation&lt;br&gt;&lt;br&gt;&lt;ul&gt;&lt;li&gt;Write clean, efficient, and well-documented code to develop and implement machine learning and AI models that support various business use cases.&lt;/li&gt;&lt;li&gt;Implement data engineering and preprocessing workflows required for model inputs.&lt;/li&gt;&lt;li&gt;Continuously optimize the performance and scalability of AI applications and models.&lt;br&gt;&lt;br&gt;&lt;/li&gt;&lt;/ul&gt;ML Pipelines &amp;amp; Operations (MLOps)&lt;br&gt;&lt;br&gt;&lt;ul&gt;&lt;li&gt;Design, develop, and maintain scalable ML pipelines for model training, validation, inference, and deployment.&lt;/li&gt;&lt;li&gt;Collaborate with ML Ops Engineers to package and deploy models into enterprise systems using established MLOps practices.&lt;/li&gt;&lt;li&gt;Monitor deployed models in production for performance, data drift, and reliability, and troubleshoot and resolve any issues that arise.&lt;/li&gt;&lt;li&gt;Establish and own the operational readiness of all AI services by defining and implementing Service Level Objectives (SLOs) for key metrics, such as p50/p95 latency and availability, and creating robust monitoring and alerting for model drift, latency, and error rates.&lt;br&gt;&lt;br&gt;&lt;/li&gt;&lt;/ul&gt;Collaboration &amp;amp; Integration&lt;br&gt;&lt;br&gt;&lt;ul&gt;&lt;li&gt;Work closely with Data Scientists to transition experimental models and research prototypes into robust, production-ready systems.&lt;/li&gt;&lt;li&gt;Support the integration of AI capabilities into enterprise workflows, applications, and digital platforms.&lt;/li&gt;&lt;li&gt;Contribute to the documentation and explainability of model outputs to ensure clarity for business stakeholders.&lt;br&gt;&lt;br&gt;&lt;/li&gt;&lt;/ul&gt;Governance &amp;amp; Strategy&lt;br&gt;&lt;br&gt;&lt;ul&gt;&lt;li&gt;Ensure all deployed AI systems comply with enterprise governance, fairness, and security standards.&lt;/li&gt;&lt;li&gt;Evaluate emerging AI technologies, such as LLMs and generative AI, to assess their applicability to business problems and drive innovation.&lt;/li&gt;&lt;li&gt;Ensure AI solutions support auditability, explainability, traceability, and regulatory compliance requirements&lt;/li&gt;&lt;li&gt;Implement memory management, context engineering, planning, and multi-step reasoning strategies&lt;/li&gt;&lt;li&gt;Define and track quality metrics such as groundedness, faithfulness, relevance, task completion rate, and user satisfaction&lt;br&gt;&lt;br&gt;&lt;/li&gt;&lt;/ul&gt;&lt;strong&gt;Preferred Skills/Knowledge/Experience&lt;br&gt;&lt;br&gt;&lt;/strong&gt;Core Technical &amp;amp; AI Proficiency&lt;br&gt;&lt;br&gt;&lt;ul&gt;&lt;li&gt;Strong coding skills in Python, Java, or C++, including API development and software design&lt;/li&gt;&lt;li&gt;Deep understanding of core machine learning concepts, including classification, regression, clustering, and deep learning architectures.&lt;/li&gt;&lt;li&gt;Hands-on experience with modern deep learning frameworks and algorithms (supervised/unsupervised), such as PyTorch, TensorFlow, or similar for building and training complex neural networks.&lt;/li&gt;&lt;li&gt;Skills in working with LLMs, prompt engineering, fine-tuning, and using frameworks like LangChain and LangGraph to build RAG (Retrieval-Augmented Generation) systems.&lt;/li&gt;&lt;li&gt;Handling data wrangling, SQL, data warehousing, and ETL pipelines to prepare data for models&lt;br&gt;&lt;br&gt;&lt;/li&gt;&lt;/ul&gt;End-to-End ML Model Lifecycle&lt;br&gt;&lt;br&gt;&lt;ul&gt;&lt;li&gt;Proven experience in the end-to-end model lifecycle: developing, training, and deploying machine learning models from prototype to production.&lt;/li&gt;&lt;li&gt;Mastery of data preprocessing, feature engineering, and model evaluation techniques to ensure robust and accurate model performance.&lt;/li&gt;&lt;li&gt;Demonstrated ability to build and optimize scalable data pipelines for training and evaluating machine learning models.&lt;/li&gt;&lt;li&gt;Strong knowledge of both SQL and NoSQL databases for querying and managing data for AI applications.&lt;br&gt;&lt;br&gt;&lt;/li&gt;&lt;/ul&gt;Software &amp;amp; MLOps Engineering&lt;br&gt;&lt;br&gt;&lt;ul&gt;&lt;li&gt;Solid foundation in software engineering best practices, including version control (Git), automated testing, and CI/CD pipelines.&lt;/li&gt;&lt;li&gt;Hands-on experience with containerization using Docker and container orchestration with Kubernetes for scalable deployment.&lt;/li&gt;&lt;li&gt;Expertise in MLOps observability, including model monitoring to track performance and drift, and establishing model/version lineage, telemetry, and traceability.&lt;/li&gt;&lt;li&gt;Experience implementing advanced testing and deployment strategies, including canary/shadow deployments and comprehensive test suites (unit, integration, adversarial, regression).&lt;/li&gt;&lt;li&gt;Demonstrated ability to integrate AI models and services into enterprise applications by building and consuming RESTful APIs.&lt;br&gt;&lt;br&gt;&lt;/li&gt;&lt;/ul&gt;Cloud &amp;amp; Infrastructure&lt;br&gt;&lt;br&gt;&lt;ul&gt;&lt;li&gt;Proficiency with at least one major cloud platform (GCP, AWS, Azure) and its associated AI/ML services (e.g., Vertex AI, SageMaker, Azure ML).&lt;/li&gt;&lt;li&gt;Experience with big data technologies, such as Apache Spark or similar, for processing large-scale datasets in a cloud environment.&lt;br&gt;&lt;br&gt;&lt;/li&gt;&lt;/ul&gt;Collaboration &amp;amp; Frontend Development&lt;br&gt;&lt;br&gt;&lt;ul&gt;&lt;li&gt;Strong problem-solving and analytical skills, with the ability to collaborate effectively in an Agile development environment.&lt;/li&gt;&lt;li&gt;Excellent communication skills to articulate complex technical concepts to both technical and non-technical stakeholders.&lt;/li&gt;&lt;li&gt;Experience with modern frontend JavaScript frameworks such as React, Vue.js, Angular or similar for building user-facing applications that consume AI models.&lt;br&gt;&lt;br&gt;&lt;/li&gt;&lt;/ul&gt;&lt;strong&gt;Minimum Education&lt;br&gt;&lt;br&gt;&lt;/strong&gt;Bachelor’s degree in Computer Science, Data Science, Engineering, or related field is required; Master’s is highly preferred.&lt;br&gt;&lt;br&gt;&lt;strong&gt;Minimum Experience&lt;br&gt;&lt;br&gt;&lt;/strong&gt;Needs 3-5+ years of dedicated experience designing and shipping ML models to production. Should have led the design of a significant ML-powered feature.&lt;br&gt;&lt;br&gt;This position is eligible for remote work and may be located anywhere within the United States excluding AK, HI and U.S. territories, however if you live within the 50 miles radius of a campus you will be required to work at a FedEx campus location several times per week.&lt;br&gt;&lt;br&gt;USA: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$20,872.33/mo&lt;br&gt;&lt;br&gt;&lt;strong&gt;Preferred Qualifications: &lt;/strong&gt;﻿﻿ ﻿﻿&lt;br&gt;&lt;br&gt;&lt;strong&gt;Pay Transparency: &lt;/strong&gt;﻿﻿ ﻿﻿ ﻿﻿&lt;br&gt;&lt;br&gt;&lt;strong&gt;Pay: &lt;/strong&gt; ﻿﻿&lt;br&gt;&lt;br&gt;&lt;strong&gt;Additional Details: &lt;/strong&gt; ﻿﻿&lt;br&gt;&lt;br&gt;&lt;strong&gt;Pay Transparency&lt;br&gt;&lt;br&gt;&lt;/strong&gt;The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wage.&lt;br&gt;&lt;br&gt;&lt;strong&gt;For details on our comprehensive benefits, click &lt;/strong&gt;&lt;strong&gt;here&lt;/strong&gt;&lt;strong&gt;.&lt;br&gt;&lt;br&gt;&lt;/strong&gt;Federal Express Corporation is an Equal Opportunity Employer including, Vets/Disability.&lt;br&gt;&lt;br&gt;Reasonable accommodations are available for qualified individuals with disabilities throughout the application process. Applicants who require reasonable accommodations in the application or hiring process should contact recruitmentsupport@fedex.com.&lt;br&gt;&lt;br&gt;&lt;strong&gt;Applicants Have Rights Under Federal Employment Laws&lt;br&gt;&lt;br&gt;&lt;/strong&gt;&lt;ul&gt;&lt;li&gt;Know Your Rights&lt;/li&gt;&lt;li&gt;Pay Transparency&lt;/li&gt;&lt;li&gt;Family and Medical Leave Act (FMLA)&lt;/li&gt;&lt;li&gt;Employee Polygraph Protection Act&lt;br&gt;&lt;br&gt;&lt;/li&gt;&lt;/ul&gt;E-Verify Program Participant: Federal Express Corporation participates in the Department of Homeland Security U.S. Citizenship and Immigration Services’ E-Verify program (For U.S. applicants and employees only). Please click below to learn more about the E-Verify program:&lt;br&gt;&lt;br&gt;&lt;ul&gt;&lt;li&gt;E-Verify Notice (bilingual)&lt;/li&gt;&lt;li&gt;Right to Work Notice (English) / (Spanish)&lt;/li&gt;&lt;/ul&gt;</x:v>
      </x:c>
      <x:c r="AB104" s="68" t="str">
        <x:v>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
Job Responsibilities
Model Development &amp;amp; Implementation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ML Pipelines &amp;amp; Operations (MLOps)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Collaboration &amp;amp; Integration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Governance &amp;amp; Strategy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Preferred Skills/Knowledge/Experience
Core Technical &amp;amp; AI Proficiency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End-to-End ML Model Lifecycle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Software &amp;amp; MLOps Engineering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Cloud &amp;amp; Infrastructure
- Proficiency with at least one major cloud platform (GCP, AWS, Azure) and its associated AI/ML services (e.g., Vertex AI, SageMaker, Azure ML).
- Experience with big data technologies, such as Apache Spark or similar, for processing large-scale datasets in a cloud environment.
Collaboration &amp;amp; Frontend Development
- Strong problem-solving and analytical skills, with the ability to collaborate effectively in an Agile development environment.
- Excellent communication skills to articulate complex technical concepts to both technical and non-technical stakeholders.
- Experience with modern frontend JavaScript frameworks such as React, Vue.js, Angular or similar for building user-facing applications that consume AI models.
Minimum Education
Bachelor’s degree in Computer Science, Data Science, Engineering, or related field is required; Master’s is highly preferred.
Minimum Experience
Needs 3-5+ years of dedicated experience designing and shipping ML models to production. Should have led the design of a significant ML-powered feature.
This position is eligible for remote work and may be located anywhere within the United States excluding AK, HI and U.S. territories, however if you live within the 50 miles radius of a campus you will be required to work at a FedEx campus location several times per week.
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
Preferred Qualifications: ﻿﻿ ﻿﻿
Pay Transparency: ﻿﻿ ﻿﻿ ﻿﻿
Pay:  ﻿﻿
Additional Details:  ﻿﻿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x:v>
      </x:c>
      <x:c r="AC104" s="68" t="str">
        <x:v>Not Applicable</x:v>
      </x:c>
      <x:c r="AD104" s="68" t="str">
        <x:v>Full-time</x:v>
      </x:c>
      <x:c r="AE104" s="68" t="str">
        <x:v>Engineering and Information Technology</x:v>
      </x:c>
      <x:c r="AF104" s="68" t="str">
        <x:v>Freight and Package Transportation</x:v>
      </x:c>
      <x:c r="AG104" s="68" t="str">
        <x:v>https://www.linkedin.com/jobs/search/?position=1&amp;pageNum=0&amp;keywords=AI+Engineer&amp;location=United+States&amp;distance=0&amp;f_TPR=r604800</x:v>
      </x:c>
      <x:c r="AH104" s="68"/>
      <x:c r="AI104" s="68" t="str">
        <x:v>https://careers.fedex.com/?utm_domicile=unspecified&amp;utm_persona=unspecified&amp;utm_trackedsource=srm_linkedin_company&amp;utm_subco=FEC</x:v>
      </x:c>
      <x:c r="AJ104" s="68"/>
      <x:c r="AK104" s="68"/>
      <x:c r="AL104" s="68"/>
      <x:c r="AM104" s="68"/>
      <x:c r="AN104" s="68"/>
      <x:c r="AO104" s="68"/>
      <x:c r="AP104" s="68"/>
    </x:row>
    <x:row r="105" s="25" customFormat="1" ht="22" customHeight="1">
      <x:c r="A105" s="68" t="str">
        <x:v>4447560412</x:v>
      </x:c>
      <x:c r="B105" s="68" t="str">
        <x:v>AI Agent Developer</x:v>
      </x:c>
      <x:c r="C105" s="68" t="str">
        <x:v>Delta Faucet Company</x:v>
      </x:c>
      <x:c r="D105" s="68" t="str">
        <x:v>Indianapolis, IN</x:v>
      </x:c>
      <x:c r="E105" s="68" t="str">
        <x:v>Failed</x:v>
      </x:c>
      <x:c r="F105" s="68"/>
      <x:c r="G105" s="69"/>
      <x:c r="H105" s="85" t="str">
        <x:v>2026-08-10</x:v>
      </x:c>
      <x:c r="I105" s="85"/>
      <x:c r="J105" s="68" t="str">
        <x:v>200</x:v>
      </x:c>
      <x:c r="K105" s="70"/>
      <x:c r="L105" s="86"/>
      <x:c r="M105" s="87"/>
      <x:c r="N105" s="71"/>
      <x:c r="O105" s="88"/>
      <x:c r="P105" s="89"/>
      <x:c r="Q105" s="89"/>
      <x:c r="R105" s="89"/>
      <x:c r="S105" s="73"/>
      <x:c r="T105" s="68"/>
      <x:c r="U105" s="68" t="str">
        <x:v>https://www.linkedin.com/jobs/view/ai-agent-developer-at-delta-faucet-company-4447560412?position=2&amp;pageNum=7&amp;refId=amLXhiv5GwroBfdUvvGxcA%3D%3D&amp;trackingId=ufQOQ4saRpEoQcmCYOs1pw%3D%3D</x:v>
      </x:c>
      <x:c r="V105" s="68" t="str">
        <x:v>ufQOQ4saRpEoQcmCYOs1pw==</x:v>
      </x:c>
      <x:c r="W105" s="68" t="str">
        <x:v>amLXhiv5GwroBfdUvvGxcA==</x:v>
      </x:c>
      <x:c r="X105" s="68" t="str">
        <x:v>https://www.linkedin.com/company/delta-faucet-company?trk=public_jobs_jserp-result_job-search-card-subtitle</x:v>
      </x:c>
      <x:c r="Y105" s="68" t="str">
        <x:v>https://media.licdn.com/dms/image/v2/D560BAQFh8bBijV4caQ/company-logo_100_100/B56ZUpP0IqHsAY-/0/1740153766789/delta_faucet_company_logo?e=2147483647&amp;v=beta&amp;t=vsASNecfMJ3xoHQKLTaYKS4y09CzHHvD9kTPbJe9WT8</x:v>
      </x:c>
      <x:c r="Z105" s="68"/>
      <x:c r="AA105" s="68" t="str">
        <x:v>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excellence.&lt;br&gt;&lt;br&gt;&lt;strong&gt;Your Role at Delta Faucet&lt;br&gt;&lt;br&gt;&lt;/strong&gt;Do you want to shape the future of analytics by building intelligent copilots that power decision-making across retail and ecommerce? Delta Faucet Company is reimagining how merchandising, pricing, supply chain, and customer experience analytics are delivered through AI-driven agents.&lt;br&gt;&lt;br&gt;We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insights.&lt;br&gt;&lt;br&gt;Ideal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problems.&lt;br&gt;&lt;br&gt;&lt;strong&gt;Responsibilities&lt;br&gt;&lt;br&gt;&lt;/strong&gt;Agent Development &amp;amp; Orchestration&lt;br&gt;&lt;br&gt;&lt;ul&gt;&lt;li&gt;Design and deploy multi-agent workflows using Copilot Studio, LangChain, and Databricks Agent Bricks.&lt;/li&gt;&lt;li&gt;Implement retrieval-augmented generation (RAG) pipelines using Delta Lake, Unity Catalog, and Databricks Vector Search.&lt;/li&gt;&lt;li&gt;Build custom Copilot connectors and plugins (Graph APIs, Power Automate actions) to expose governed Delta data in Teams, Outlook, and Power BI.&lt;br&gt;&lt;br&gt;&lt;/li&gt;&lt;/ul&gt;Data Integration &amp;amp; Analytics&lt;br&gt;&lt;br&gt;&lt;li&gt;Architect pipelines that connect transactional, inventory, and ERP feeds into real-time copilots with &amp;lt;2s response targets.&lt;/li&gt;&lt;li&gt;Orchestrate workflows across Microsoft Fabric, Dynamics 365, and Databricks Lakehouse (Bronze/Silver/Gold layers).&lt;br&gt;&lt;br&gt;&lt;/li&gt;MLOps/LLMOps &amp;amp; Governance&lt;br&gt;&lt;br&gt;&lt;ul&gt;&lt;li&gt;Manage agent lifecycle using MLflow 3.0 for experiment tracking, prompt registry, evaluation, and tracing.&lt;/li&gt;&lt;li&gt;Enforce governance guardrails: Unity Catalog (row/column-level security, lineage, audit logging), Microsoft Purview (DLP, sensitivity labels), and responsible AI practices (guardrails, human-in-loop).&lt;/li&gt;&lt;li&gt;Monitor production agents for reliability, latency, token cost, effectiveness, usage, and safety.&lt;br&gt;&lt;br&gt;&lt;/li&gt;&lt;/ul&gt;Innovation &amp;amp; Optimization&lt;br&gt;&lt;br&gt;&lt;ul&gt;&lt;li&gt;Fine-tune foundation models (GPT-4o, GPT-5, Claude Opus, DBRX) for retail domain tasks.&lt;/li&gt;&lt;li&gt;Experiment with advanced multi-agent orchestration patterns, chain-of-thought optimization, and semantic indexing.&lt;/li&gt;&lt;li&gt;Continuously evaluate and integrate new features from Microsoft and Databricks platforms.&lt;/li&gt;&lt;li&gt;Evaluate adoption of agentic experiences, partnering with sales &amp;amp; channel marketing to maximize benefit and utilization.&lt;/li&gt;&lt;li&gt;Mentor and coach your analytics peers in ways that will accelerate the deployment of agents and the analytics outcomes we desire.&lt;br&gt;&lt;br&gt;&lt;/li&gt;&lt;/ul&gt;&lt;strong&gt;Qualifications&lt;/strong&gt;&lt;ul&gt;&lt;li&gt;Bachelor’s degree in Computer Science, Data Science, Engineering, or a related quantitative field.&lt;/li&gt;&lt;li&gt;4–6 years of professional experience in software engineering, data engineering, or applied AI/ML.&lt;/li&gt;&lt;li&gt;Demonstrated ability to ship at least one production-ready agentic or RAG (retrieval-augmented generation) solution, or equivalent evidence through open-source projects, internal pilots, or demos.&lt;/li&gt;&lt;li&gt;Proficiency in Python and SQL with experience building APIs, workflows, or automation pipelines.&lt;/li&gt;&lt;li&gt;Hands-on experience in either:&lt;/li&gt;&lt;ul&gt;&lt;li&gt;Databricks Lakehouse (Delta Lake, Unity Catalog, Lakeflow Jobs, Model Serving, Vector Search), or&lt;/li&gt;&lt;li&gt;Microsoft Copilot Studio and Power Platform (Power Automate, Power Apps, Dataverse, Graph connectors). Candidates are expected to learn and ramp quickly in the other platform.&lt;/li&gt;&lt;/ul&gt;&lt;li&gt;Familiarity with LLMOps practices (e.g., MLflow, prompt evaluation, observability dashboards) and implementing responsible AI guardrails (data access controls, PII handling, bias mitigation).&lt;br&gt;&lt;br&gt;&lt;/li&gt;&lt;/ul&gt;&lt;strong&gt;Why Join Us?&lt;br&gt;&lt;br&gt;&lt;/strong&gt;At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organization.&lt;br&gt;&lt;br&gt;Here are some of the benefits we offer for your personal and professional growth:&lt;br&gt;&lt;br&gt;&lt;ul&gt;&lt;li&gt;Culture: Recognized and award-winning reputation for equality, diversity and inclusion, flexibility, work-life balance, and more.&lt;/li&gt;&lt;li&gt;Wellbeing: Comprehensive benefit plans; retirement, savings, tuition reimbursement, and employee incentive programs; resources for mental, physical, and financial wellbeing.&lt;/li&gt;&lt;li&gt;Learning &amp;amp; Development: LinkedIn Learning access; internal opportunities to work on projects cross-company.&lt;/li&gt;&lt;li&gt;Social Impact: Four employee-led and self-directed Business Resource Groups; Paid volunteer day annually; Employees share their time, skills and talent with charities and nonprofit organizations across the U.S. and around the globe.&lt;br&gt;&lt;br&gt;&lt;/li&gt;&lt;/ul&gt;&lt;strong&gt;Company: Delta Faucet Company&lt;br&gt;&lt;br&gt;&lt;/strong&gt;Full time&lt;br&gt;&lt;br&gt;Hiring Range: $88,700.00 - $139,260.00 USD&lt;br&gt;&lt;br&gt;Actual compensation may vary based on various factors including experience, education, geographic location, and/or skills.&lt;br&gt;&lt;br&gt;&lt;em&gt;Delta Faucet Company&lt;/em&gt; &lt;em&gt;(the “Company”) is an equal opportunity employer and&lt;/em&gt; &lt;em&gt;we &lt;/em&gt;&lt;em&gt;strive to employ the most qualified individuals for every position&lt;/em&gt;&lt;em&gt;&lt;em&gt;.&lt;/em&gt;&lt;/em&gt; &lt;em&gt;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Company.&lt;br&gt;&lt;br&gt;&lt;/em&gt;&lt;em&gt;Delta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information.&lt;br&gt;&lt;br&gt;&lt;/em&gt;&lt;em&gt;E-Verify Participation Poster: &lt;/em&gt;English &amp;amp; Spanish&lt;br&gt;&lt;br&gt;&lt;em&gt;E-verify Right to Work Poster: English, Spanish&lt;/em&gt;</x:v>
      </x:c>
      <x:c r="AB105" s="68" t="str">
        <x:v>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
Your Role at Delta Faucet
Do you want to shape the future of analytics by building intelligent copilots that power decision-making across retail and ecommerce? Delta Faucet Company is reimagining how merchandising, pricing, supply chain, and customer experience analytics are delivered through AI-driven agents.
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
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
Responsibilities
Agent Development &amp;amp; Orchestration
- Design and deploy multi-agent workflows using Copilot Studio, LangChain, and Databricks Agent Bricks.
- Implement retrieval-augmented generation (RAG) pipelines using Delta Lake, Unity Catalog, and Databricks Vector Search.
- Build custom Copilot connectors and plugins (Graph APIs, Power Automate actions) to expose governed Delta data in Teams, Outlook, and Power BI.
Data Integration &amp;amp; Analytics
- Architect pipelines that connect transactional, inventory, and ERP feeds into real-time copilots with &amp;lt;2s response targets.
- Orchestrate workflows across Microsoft Fabric, Dynamics 365, and Databricks Lakehouse (Bronze/Silver/Gold layers).
MLOps/LLMOps &amp;amp; Governance
- Manage agent lifecycle using MLflow 3.0 for experiment tracking, prompt registry, evaluation, and tracing.
- Enforce governance guardrails: Unity Catalog (row/column-level security, lineage, audit logging), Microsoft Purview (DLP, sensitivity labels), and responsible AI practices (guardrails, human-in-loop).
- Monitor production agents for reliability, latency, token cost, effectiveness, usage, and safety.
Innovation &amp;amp; Optimization
- Fine-tune foundation models (GPT-4o, GPT-5, Claude Opus, DBRX) for retail domain tasks.
- Experiment with advanced multi-agent orchestration patterns, chain-of-thought optimization, and semantic indexing.
- Continuously evaluate and integrate new features from Microsoft and Databricks platforms.
- Evaluate adoption of agentic experiences, partnering with sales &amp;amp; channel marketing to maximize benefit and utilization.
- Mentor and coach your analytics peers in ways that will accelerate the deployment of agents and the analytics outcomes we desire.
Qualifications
- Bachelor’s degree in Computer Science, Data Science, Engineering, or a related quantitative field.
- 4–6 years of professional experience in software engineering, data engineering, or applied AI/ML.
- Demonstrated ability to ship at least one production-ready agentic or RAG (retrieval-augmented generation) solution, or equivalent evidence through open-source projects, internal pilots, or demos.
- Proficiency in Python and SQL with experience building APIs, workflows, or automation pipelines.
- Hands-on experience in either:
- Databricks Lakehouse (Delta Lake, Unity Catalog, Lakeflow Jobs, Model Serving, Vector Search), or
- Microsoft Copilot Studio and Power Platform (Power Automate, Power Apps, Dataverse, Graph connectors). Candidates are expected to learn and ramp quickly in the other platform.
- Familiarity with LLMOps practices (e.g., MLflow, prompt evaluation, observability dashboards) and implementing responsible AI guardrails (data access controls, PII handling, bias mitigation).
Why Join Us?
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
Here are some of the benefits we offer for your personal and professional growth:
- Culture: Recognized and award-winning reputation for equality, diversity and inclusion, flexibility, work-life balance, and more.
- Wellbeing: Comprehensive benefit plans; retirement, savings, tuition reimbursement, and employee incentive programs; resources for mental, physical, and financial wellbeing.
- Learning &amp;amp; Development: LinkedIn Learning access; internal opportunities to work on projects cross-company.
- Social Impact: Four employee-led and self-directed Business Resource Groups; Paid volunteer day annually; Employees share their time, skills and talent with charities and nonprofit organizations across the U.S. and around the globe.
Company: Delta Faucet Company
Full time
Hiring Range: $88,700.00 - $139,260.00 USD
Actual compensation may vary based on various factors including experience, education, geographic location, and/or skills.
Delta Faucet Company (the “Company”) is an equal opportunity employer and we strive to employ the most qualified individuals for every position.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
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&amp;amp; Spanish
E-verify Right to Work Poster: English, Spanish</x:v>
      </x:c>
      <x:c r="AC105" s="68" t="str">
        <x:v>Not Applicable</x:v>
      </x:c>
      <x:c r="AD105" s="68" t="str">
        <x:v>Full-time</x:v>
      </x:c>
      <x:c r="AE105" s="68" t="str">
        <x:v>Sales and Business Development</x:v>
      </x:c>
      <x:c r="AF105" s="68" t="str">
        <x:v>Manufacturing</x:v>
      </x:c>
      <x:c r="AG105" s="68" t="str">
        <x:v>https://www.linkedin.com/jobs/search/?position=1&amp;pageNum=0&amp;keywords=AI+Engineer&amp;location=United+States&amp;distance=0&amp;f_TPR=r604800</x:v>
      </x:c>
      <x:c r="AH105" s="68" t="str">
        <x:v>{'type': 'PostalAddress', 'streetAddress': '55 E. 111th St.', 'addressLocality': 'Indianapolis', 'addressRegion': 'IN', 'postalCode': '46280', 'addressCountry': 'US'}</x:v>
      </x:c>
      <x:c r="AI105" s="68" t="str">
        <x:v>http://www.deltafaucetcompany.com</x:v>
      </x:c>
      <x:c r="AJ105" s="68" t="str">
        <x:v>WHERE PASSION FLOWS</x:v>
      </x:c>
      <x:c r="AK105" s="68"/>
      <x:c r="AL105" s="68"/>
      <x:c r="AM105" s="68"/>
      <x:c r="AN105" s="68"/>
      <x:c r="AO105" s="68"/>
      <x:c r="AP105" s="68"/>
    </x:row>
    <x:row r="106" s="25" customFormat="1" ht="22" customHeight="1">
      <x:c r="A106" s="68" t="str">
        <x:v>4384361878</x:v>
      </x:c>
      <x:c r="B106" s="68" t="str">
        <x:v>Artificial Intelligence (AI) Engineer</x:v>
      </x:c>
      <x:c r="C106" s="68" t="str">
        <x:v>WilmerHale</x:v>
      </x:c>
      <x:c r="D106" s="68" t="str">
        <x:v>Boston, MA</x:v>
      </x:c>
      <x:c r="E106" s="68" t="str">
        <x:v>Applied</x:v>
      </x:c>
      <x:c r="F106" s="68"/>
      <x:c r="G106" s="69"/>
      <x:c r="H106" s="85" t="str">
        <x:v>2026-08-09</x:v>
      </x:c>
      <x:c r="I106" s="85"/>
      <x:c r="J106" s="68" t="str">
        <x:v>200</x:v>
      </x:c>
      <x:c r="K106" s="70"/>
      <x:c r="L106" s="86"/>
      <x:c r="M106" s="87"/>
      <x:c r="N106" s="71"/>
      <x:c r="O106" s="88"/>
      <x:c r="P106" s="89"/>
      <x:c r="Q106" s="89"/>
      <x:c r="R106" s="89"/>
      <x:c r="S106" s="73"/>
      <x:c r="T106" s="68"/>
      <x:c r="U106" s="68" t="str">
        <x:v>https://www.linkedin.com/jobs/view/artificial-intelligence-ai-engineer-at-wilmerhale-4384361878?position=5&amp;pageNum=8&amp;refId=84IM%2FcTm6yKVp3XV1k0rtA%3D%3D&amp;trackingId=dZRn4Yy6r8JUgQfOXzyfrg%3D%3D</x:v>
      </x:c>
      <x:c r="V106" s="68" t="str">
        <x:v>dZRn4Yy6r8JUgQfOXzyfrg==</x:v>
      </x:c>
      <x:c r="W106" s="68" t="str">
        <x:v>84IM/cTm6yKVp3XV1k0rtA==</x:v>
      </x:c>
      <x:c r="X106" s="68" t="str">
        <x:v>https://www.linkedin.com/company/wilmerhale?trk=public_jobs_jserp-result_job-search-card-subtitle</x:v>
      </x:c>
      <x:c r="Y106" s="68" t="str">
        <x:v>https://media.licdn.com/dms/image/v2/D560BAQHTG2lVMYcDvw/company-logo_100_100/company-logo_100_100/0/1719839316153/wilmerhale_logo?e=2147483647&amp;v=beta&amp;t=AFMPqHrmRhpeHvlc2FLijqzP9e6DWU6gAYyb5UXI4v8</x:v>
      </x:c>
      <x:c r="Z106" s="68"/>
      <x:c r="AA106" s="68" t="str">
        <x:v>&lt;strong&gt;Job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x:v>
      </x:c>
      <x:c r="AB106" s="68" t="str">
        <x:v>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x:v>
      </x:c>
      <x:c r="AC106" s="68" t="str">
        <x:v>Not Applicable</x:v>
      </x:c>
      <x:c r="AD106" s="68" t="str">
        <x:v>Full-time</x:v>
      </x:c>
      <x:c r="AE106" s="68" t="str">
        <x:v>Quality Assurance, Finance, and Information Technology</x:v>
      </x:c>
      <x:c r="AF106" s="68" t="str">
        <x:v>Law Practice</x:v>
      </x:c>
      <x:c r="AG106" s="68" t="str">
        <x:v>https://www.linkedin.com/jobs/search/?position=1&amp;pageNum=0&amp;keywords=AI+Engineer&amp;location=United+States&amp;distance=0&amp;f_TPR=r604800</x:v>
      </x:c>
      <x:c r="AH106" s="68" t="str">
        <x:v>{'type': 'PostalAddress', 'streetAddress': '2100 Pennsylvania Ave NW', 'addressLocality': 'Washington', 'addressRegion': 'District of Columbia', 'postalCode': '20037', 'addressCountry': 'US'}</x:v>
      </x:c>
      <x:c r="AI106" s="68" t="str">
        <x:v>https://www.wilmerhale.com</x:v>
      </x:c>
      <x:c r="AJ106" s="68" t="str">
        <x:v>Legal excellence. Dedication to clients. Commitment to public service.</x:v>
      </x:c>
      <x:c r="AK106" s="68"/>
      <x:c r="AL106" s="68"/>
      <x:c r="AM106" s="68"/>
      <x:c r="AN106" s="68"/>
      <x:c r="AO106" s="68"/>
      <x:c r="AP106" s="68"/>
    </x:row>
    <x:row r="107" s="25" customFormat="1" ht="22" customHeight="1">
      <x:c r="A107" s="68" t="str">
        <x:v>4440915345</x:v>
      </x:c>
      <x:c r="B107" s="68" t="str">
        <x:v>Supply Chain Applied AI Engineer</x:v>
      </x:c>
      <x:c r="C107" s="68" t="str">
        <x:v>Stellantis</x:v>
      </x:c>
      <x:c r="D107" s="68" t="str">
        <x:v>Auburn Hills, MI</x:v>
      </x:c>
      <x:c r="E107" s="68" t="str">
        <x:v>Failed</x:v>
      </x:c>
      <x:c r="F107" s="68"/>
      <x:c r="G107" s="69"/>
      <x:c r="H107" s="85" t="str">
        <x:v>2026-08-05</x:v>
      </x:c>
      <x:c r="I107" s="85"/>
      <x:c r="J107" s="68" t="str">
        <x:v>89</x:v>
      </x:c>
      <x:c r="K107" s="70"/>
      <x:c r="L107" s="86"/>
      <x:c r="M107" s="87"/>
      <x:c r="N107" s="71"/>
      <x:c r="O107" s="88"/>
      <x:c r="P107" s="89"/>
      <x:c r="Q107" s="89"/>
      <x:c r="R107" s="89"/>
      <x:c r="S107" s="73"/>
      <x:c r="T107" s="68"/>
      <x:c r="U107" s="68" t="str">
        <x:v>https://www.linkedin.com/jobs/view/supply-chain-applied-ai-engineer-at-stellantis-4440915345?position=1&amp;pageNum=8&amp;refId=84IM%2FcTm6yKVp3XV1k0rtA%3D%3D&amp;trackingId=OeArS36AiS31tR%2Fc0q9Rkg%3D%3D</x:v>
      </x:c>
      <x:c r="V107" s="68" t="str">
        <x:v>OeArS36AiS31tR/c0q9Rkg==</x:v>
      </x:c>
      <x:c r="W107" s="68" t="str">
        <x:v>84IM/cTm6yKVp3XV1k0rtA==</x:v>
      </x:c>
      <x:c r="X107" s="68" t="str">
        <x:v>https://nl.linkedin.com/company/stellantis?trk=public_jobs_jserp-result_job-search-card-subtitle</x:v>
      </x:c>
      <x:c r="Y107" s="68" t="str">
        <x:v>https://media.licdn.com/dms/image/v2/C4D0BAQHURyWugU5A4g/company-logo_100_100/company-logo_100_100/0/1630577492034/stellantis_logo?e=2147483647&amp;v=beta&amp;t=cFDtEgXS8rw4smbXTD-xIhe18G-blHN38fuXk4a-bE4</x:v>
      </x:c>
      <x:c r="Z107" s="68"/>
      <x:c r="AA107" s="68" t="str">
        <x:v>&lt;strong&gt;About The Role&lt;br&gt;&lt;br&gt;&lt;/strong&gt;Join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delivery.&lt;br&gt;&lt;br&gt;&lt;strong&gt;Key Interfaces&lt;br&gt;&lt;br&gt;&lt;/strong&gt;&lt;ul&gt;&lt;li&gt;Business stakeholders across supply, demand, operations and adjacent Supply Chain perimeters&lt;/li&gt;&lt;li&gt;AI Architecture &amp;amp; Delivery Standards Lead&lt;/li&gt;&lt;li&gt;Senior Data Engineers and data stakeholders&lt;/li&gt;&lt;li&gt;Regional AI &amp;amp; Data Leads&lt;/li&gt;&lt;li&gt;External ecosystem players, solution partners and relevant innovation providers when useful&lt;br&gt;&lt;br&gt;&lt;/li&gt;&lt;/ul&gt;&lt;strong&gt;Your Missions&lt;br&gt;&lt;br&gt;&lt;/strong&gt;Use-Case Framing, Prototyping &amp;amp; Experimentation:&lt;br&gt;&lt;br&gt;&lt;ul&gt;&lt;li&gt;Translate business problems into practical AI solution components, prototypes, experiments and scalable technical approaches depending on the maturity of the use case&lt;/li&gt;&lt;li&gt;Work iteratively with business stakeholders to test ideas early, challenge assumptions and keep technical ambition grounded in real operational value&lt;/li&gt;&lt;li&gt;Help distinguish what should remain exploratory from what should move toward reuse, industrialization or broader deployment&lt;br&gt;&lt;br&gt;&lt;/li&gt;&lt;/ul&gt;&lt;strong&gt;Engineering, Integration &amp;amp; Delivery Support&lt;br&gt;&lt;br&gt;&lt;/strong&gt;&lt;ul&gt;&lt;li&gt;Contribute to solution logic, integrations, data connectivity and reusable technical components required by active AI use cases&lt;/li&gt;&lt;li&gt;Align technical work with architecture standards, trusted-deployment expectations and practical delivery constraints&lt;/li&gt;&lt;li&gt;Help maintain delivery momentum while making early blockers, dependencies and risks visible to the right stakeholders&lt;br&gt;&lt;br&gt;&lt;/li&gt;&lt;/ul&gt;&lt;strong&gt;Innovation Scouting &amp;amp; External Ecosystem Engagement&lt;br&gt;&lt;br&gt;&lt;/strong&gt;&lt;ul&gt;&lt;li&gt;Maintain awareness of relevant external innovations, tools, partners and emerging AI approaches that could strengthen Supply Chain use cases&lt;/li&gt;&lt;li&gt;Contribute informed recommendations on when external solutions, partnerships or rapid experimentation are worth exploring&lt;/li&gt;&lt;li&gt;Help connect domain needs with relevant external capabilities without losing control of delivery practicality&lt;br&gt;&lt;br&gt;&lt;/li&gt;&lt;/ul&gt;&lt;strong&gt;Reuse, Scale &amp;amp; Regional Adaptation&lt;br&gt;&lt;br&gt;&lt;/strong&gt;&lt;ul&gt;&lt;li&gt;Build with reuse in mind so assets can evolve from early exploration to broader deployment across regions, use cases and business contexts&lt;/li&gt;&lt;li&gt;Capture engineering learnings, patterns and playbooks that accelerate future delivery work&lt;/li&gt;&lt;li&gt;Contribute to practical AI scale-up by balancing speed, quality, experimentation and long-term maintainability&lt;br&gt;&lt;br&gt;&lt;/li&gt;&lt;/ul&gt;&lt;strong&gt;Your Profile&lt;br&gt;&lt;br&gt;&lt;/strong&gt;&lt;ul&gt;&lt;li&gt;Hands-on AI / ML / GenAI engineering background with strong technical curiosity and pragmatic build discipline&lt;/li&gt;&lt;li&gt;Comfortable with Python, APIs, integrations and practical solution development in modern enterprise environments&lt;/li&gt;&lt;li&gt;Able to work closely with business stakeholders in iterative delivery, prototyping and scaling contexts.&lt;/li&gt;&lt;li&gt;Interested in both innovation scouting and real delivery execution&lt;/li&gt;&lt;li&gt;Structured, inventive and able to take ownership of a defined subset of a broader AI engineering scope&lt;br&gt;&lt;br&gt;&lt;/li&gt;&lt;/ul&gt;&lt;strong&gt;Skills You'll Grow&lt;br&gt;&lt;br&gt;&lt;/strong&gt;&lt;ul&gt;&lt;li&gt;Exposure to a broad range of Supply Chain AI use cases and business contexts&lt;/li&gt;&lt;li&gt;Experience balancing experimentation, engineering quality and deployment logic in real delivery settings&lt;/li&gt;&lt;li&gt;Opportunity to deepen expertise in a specific domain while contributing to a wider AI engineering agenda&lt;br&gt;&lt;br&gt;&lt;/li&gt;&lt;/ul&gt;&lt;strong&gt;Why Join / Impact&lt;br&gt;&lt;br&gt;&lt;/strong&gt;&lt;ul&gt;&lt;li&gt;Work on AI engineering challenges directly tied to real Supply Chain business value&lt;/li&gt;&lt;li&gt;Join a role broad enough to offer variety, while still allowing focused ownership on a defined perimeter&lt;/li&gt;&lt;li&gt;Help shape practical AI solutions from early idea to credible deployment path&lt;br&gt;&lt;br&gt;&lt;/li&gt;&lt;/ul&gt;&lt;strong&gt;Basic Qualifications&lt;br&gt;&lt;br&gt;&lt;/strong&gt;&lt;ul&gt;&lt;li&gt;Bachelor’s or Master’s degree in Engineering, AI , Computer Science or related field &lt;/li&gt;&lt;li&gt;8 years of experience in Supply Chain with a focus on AI, ML, GenAI &lt;/li&gt;&lt;li&gt;Hands-on AI / ML / GenAI engineering background with strong technical curiosity and pragmatic build discipline&lt;/li&gt;&lt;li&gt;Able to work closely with business stakeholders in iterative delivery, prototyping, and scaling contexts &lt;/li&gt;&lt;li&gt;Demonstrated ability to operate independently and own production services end-to-end (design, build, deploy, monitoring, incident response) with minimal oversight &lt;/li&gt;&lt;li&gt;Comfortable with Python, APIs, integrations and practical solution development in modern enterprise environments&lt;/li&gt;&lt;li&gt;Interested in both innovation scouting and real delivery execution &lt;br&gt;&lt;br&gt;&lt;/li&gt;&lt;/ul&gt;&lt;strong&gt;Our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x:v>
      </x:c>
      <x:c r="AB107" s="68" t="str">
        <x:v>About The Role
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
Key Interfaces
- Business stakeholders across supply, demand, operations and adjacent Supply Chain perimeters
- AI Architecture &amp;amp; Delivery Standards Lead
- Senior Data Engineers and data stakeholders
- Regional AI &amp;amp; Data Leads
- External ecosystem players, solution partners and relevant innovation providers when useful
Your Missions
Use-Case Framing, Prototyping &amp;amp; Experimentation:
- Translate business problems into practical AI solution components, prototypes, experiments and scalable technical approaches depending on the maturity of the use case
- Work iteratively with business stakeholders to test ideas early, challenge assumptions and keep technical ambition grounded in real operational value
- Help distinguish what should remain exploratory from what should move toward reuse, industrialization or broader deployment
Engineering, Integration &amp;amp; Delivery Support
- Contribute to solution logic, integrations, data connectivity and reusable technical components required by active AI use cases
- Align technical work with architecture standards, trusted-deployment expectations and practical delivery constraints
- Help maintain delivery momentum while making early blockers, dependencies and risks visible to the right stakeholders
Innovation Scouting &amp;amp; External Ecosystem Engagement
- Maintain awareness of relevant external innovations, tools, partners and emerging AI approaches that could strengthen Supply Chain use cases
- Contribute informed recommendations on when external solutions, partnerships or rapid experimentation are worth exploring
- Help connect domain needs with relevant external capabilities without losing control of delivery practicality
Reuse, Scale &amp;amp; Regional Adaptation
- Build with reuse in mind so assets can evolve from early exploration to broader deployment across regions, use cases and business contexts
- Capture engineering learnings, patterns and playbooks that accelerate future delivery work
- Contribute to practical AI scale-up by balancing speed, quality, experimentation and long-term maintainability
Your Profile
- Hands-on AI / ML / GenAI engineering background with strong technical curiosity and pragmatic build discipline
- Comfortable with Python, APIs, integrations and practical solution development in modern enterprise environments
- Able to work closely with business stakeholders in iterative delivery, prototyping and scaling contexts.
- Interested in both innovation scouting and real delivery execution
- Structured, inventive and able to take ownership of a defined subset of a broader AI engineering scope
Skills You'll Grow
- Exposure to a broad range of Supply Chain AI use cases and business contexts
- Experience balancing experimentation, engineering quality and deployment logic in real delivery settings
- Opportunity to deepen expertise in a specific domain while contributing to a wider AI engineering agenda
Why Join / Impact
- Work on AI engineering challenges directly tied to real Supply Chain business value
- Join a role broad enough to offer variety, while still allowing focused ownership on a defined perimeter
- Help shape practical AI solutions from early idea to credible deployment path
Basic Qualifications
- Bachelor’s or Master’s degree in Engineering, AI , Computer Science or related field 
- 8 years of experience in Supply Chain with a focus on AI, ML, GenAI 
- Hands-on AI / ML / GenAI engineering background with strong technical curiosity and pragmatic build discipline
- Able to work closely with business stakeholders in iterative delivery, prototyping, and scaling contexts 
- Demonstrated ability to operate independently and own production services end-to-end (design, build, deploy, monitoring, incident response) with minimal oversight 
- Comfortable with Python, APIs, integrations and practical solution development in modern enterprise environments
- Interested in both innovation scouting and real delivery execution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x:v>
      </x:c>
      <x:c r="AC107" s="68" t="str">
        <x:v>Not Applicable</x:v>
      </x:c>
      <x:c r="AD107" s="68" t="str">
        <x:v>Full-time</x:v>
      </x:c>
      <x:c r="AE107" s="68" t="str">
        <x:v>Other</x:v>
      </x:c>
      <x:c r="AF107" s="68" t="str">
        <x:v>Automation Machinery Manufacturing</x:v>
      </x:c>
      <x:c r="AG107" s="68" t="str">
        <x:v>https://www.linkedin.com/jobs/search/?position=1&amp;pageNum=0&amp;keywords=AI+Engineer&amp;location=United+States&amp;distance=0&amp;f_TPR=r604800</x:v>
      </x:c>
      <x:c r="AH107" s="68" t="str">
        <x:v>{'type': 'PostalAddress', 'addressLocality': 'Amsterdam', 'addressCountry': 'NL'}</x:v>
      </x:c>
      <x:c r="AI107" s="68" t="str">
        <x:v>https://www.stellantis.com</x:v>
      </x:c>
      <x:c r="AJ107" s="68"/>
      <x:c r="AK107" s="68"/>
      <x:c r="AL107" s="68"/>
      <x:c r="AM107" s="68"/>
      <x:c r="AN107" s="68"/>
      <x:c r="AO107" s="68"/>
      <x:c r="AP107" s="68"/>
    </x:row>
    <x:row r="108" s="25" customFormat="1" ht="22" customHeight="1">
      <x:c r="A108" s="68" t="str">
        <x:v>4452427834</x:v>
      </x:c>
      <x:c r="B108" s="68" t="str">
        <x:v>AI/ML Engineer</x:v>
      </x:c>
      <x:c r="C108" s="68" t="str">
        <x:v>Air Apps</x:v>
      </x:c>
      <x:c r="D108" s="68" t="str">
        <x:v>San Francisco, CA</x:v>
      </x:c>
      <x:c r="E108" s="68" t="str">
        <x:v>Failed</x:v>
      </x:c>
      <x:c r="F108" s="68"/>
      <x:c r="G108" s="69"/>
      <x:c r="H108" s="85" t="str">
        <x:v>2026-08-11</x:v>
      </x:c>
      <x:c r="I108" s="85"/>
      <x:c r="J108" s="68" t="str">
        <x:v>200</x:v>
      </x:c>
      <x:c r="K108" s="70" t="str">
        <x:v>$100,000.00/yr - $187,000.00/yr</x:v>
      </x:c>
      <x:c r="L108" s="86"/>
      <x:c r="M108" s="87"/>
      <x:c r="N108" s="71"/>
      <x:c r="O108" s="88"/>
      <x:c r="P108" s="89"/>
      <x:c r="Q108" s="89"/>
      <x:c r="R108" s="89"/>
      <x:c r="S108" s="73"/>
      <x:c r="T108" s="68"/>
      <x:c r="U108" s="68" t="str">
        <x:v>https://www.linkedin.com/jobs/view/ai-ml-engineer-at-air-apps-4452427834?position=2&amp;pageNum=8&amp;refId=84IM%2FcTm6yKVp3XV1k0rtA%3D%3D&amp;trackingId=LbwhsWWf11ak2kg9pgFhgA%3D%3D</x:v>
      </x:c>
      <x:c r="V108" s="68" t="str">
        <x:v>LbwhsWWf11ak2kg9pgFhgA==</x:v>
      </x:c>
      <x:c r="W108" s="68" t="str">
        <x:v>84IM/cTm6yKVp3XV1k0rtA==</x:v>
      </x:c>
      <x:c r="X108" s="68" t="str">
        <x:v>https://www.linkedin.com/company/airapps?trk=public_jobs_jserp-result_job-search-card-subtitle</x:v>
      </x:c>
      <x:c r="Y108" s="68" t="str">
        <x:v>https://media.licdn.com/dms/image/v2/D4D0BAQGsf8xDO35hvA/company-logo_100_100/company-logo_100_100/0/1707529392169/airapps_logo?e=2147483647&amp;v=beta&amp;t=pMhs74F1luDbY0hRBDh8Yw5UXFvAkDVGaWe6yo1ra88</x:v>
      </x:c>
      <x:c r="Z108" s="68"/>
      <x:c r="AA108" s="68" t="str">
        <x:v>&lt;strong&gt;About Air Apps&lt;br&gt;&lt;br&gt;&lt;/strong&gt;At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worldwide.&lt;br&gt;&lt;br&gt;Our long-term focus drives us to challenge the status quo every day, pushing the boundaries of AI-driven solutions that truly make a difference. Here, you’ll be a creative force, shaping products that empower people across the globe.&lt;br&gt;&lt;br&gt;Join us on this journey to redefine resource management—and change lives along the way.&lt;br&gt;&lt;br&gt;&lt;strong&gt;&lt;strong&gt;The Role&lt;br&gt;&lt;br&gt;&lt;/strong&gt;&lt;/strong&gt;As an &lt;strong&gt;AI/ML Engineer&lt;/strong&gt;,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industry.&lt;br&gt;&lt;br&gt;Please note that this post serves the purpose of enhancing our talent pool while we prepare to launch the official job. As soon as it gets posted we will get in touch with you.&lt;br&gt;&lt;br&gt;&lt;strong&gt;Responsibilities&lt;br&gt;&lt;br&gt;&lt;/strong&gt;&lt;ul&gt;&lt;li&gt;Develop, train, and optimize machine learning models for various mobile app features. &lt;/li&gt;&lt;li&gt;Research and implement state-of-the-art AI techniques to improve user engagement and app performance. &lt;/li&gt;&lt;li&gt;Collaborate with cross-functional teams to integrate AI-driven solutions into our applications. &lt;/li&gt;&lt;li&gt;Design and maintain scalable ML pipelines, ensuring efficient model deployment and monitoring. &lt;/li&gt;&lt;li&gt;Analyze large datasets to derive insights and drive data-driven decision-making. &lt;/li&gt;&lt;li&gt;Stay updated with the latest AI trends and best practices, incorporating them into our development processes. &lt;/li&gt;&lt;li&gt;Optimize AI models for mobile environments to ensure high performance and low latency. &lt;br&gt;&lt;br&gt;&lt;/li&gt;&lt;/ul&gt;&lt;strong&gt;Requirements&lt;br&gt;&lt;br&gt;&lt;/strong&gt;&lt;ul&gt;&lt;li&gt;Around 3+ years of experience in AI/ML development, preferably in mobile applications. &lt;/li&gt;&lt;li&gt;Proficiency in Python, TensorFlow, PyTorch, or other ML frameworks. &lt;/li&gt;&lt;li&gt;Experience with deep learning, NLP, computer vision, and statistical modeling. &lt;/li&gt;&lt;li&gt;Familiarity with cloud-based ML services (AWS, Google Cloud, or Azure). &lt;/li&gt;&lt;li&gt;Strong understanding of data structures, algorithms, and software engineering best practices. &lt;/li&gt;&lt;li&gt;Experience in deploying and maintaining ML models in production. &lt;/li&gt;&lt;li&gt;Ability to work collaboratively in a remote team environment. &lt;/li&gt;&lt;li&gt;Strong problem-solving skills and a passion for innovation. &lt;br&gt;&lt;br&gt;&lt;/li&gt;&lt;/ul&gt;&lt;strong&gt;&lt;strong&gt;What benefits do we offer?&lt;br&gt;&lt;br&gt;&lt;/strong&gt;&lt;/strong&gt;&lt;ul&gt;&lt;li&gt;Apple hardware ecosystem for work. &lt;/li&gt;&lt;li&gt;Annual Bonus. &lt;/li&gt;&lt;li&gt;Medical Insurance (including vision &amp;amp; dental). &lt;/li&gt;&lt;li&gt;Disability insurance - short and long-term. &lt;/li&gt;&lt;li&gt;401k up to 4% contribution. &lt;/li&gt;&lt;li&gt;Air Conference – an opportunity to meet the team, collaborate, and grow together. &lt;/li&gt;&lt;li&gt;Transportation budget&lt;/li&gt;&lt;li&gt;Free meals at the hub&lt;/li&gt;&lt;li&gt;Gym membership&lt;br&gt;&lt;br&gt;&lt;/li&gt;&lt;/ul&gt;&lt;strong&gt;&lt;strong&gt;Diversity &amp;amp; Inclusion&lt;br&gt;&lt;br&gt;&lt;/strong&gt;&lt;/strong&gt;At Air Apps, we are committed to fostering a diverse, inclusive, and equitable workplace. We enthusiastically welcome applicants from all backgrounds, experiences, and perspectives. We celebrate diversity in all its forms and believe that varied voices and experiences make us stronger.&lt;br&gt;&lt;br&gt;&lt;strong&gt;&lt;strong&gt;Application Disclaimer&lt;br&gt;&lt;br&gt;&lt;/strong&gt;&lt;/strong&gt;At Air Apps, we value transparency and integrity in our hiring process. Applicants must submit their own work without any AI-generated assistance. Any use of AI in application materials, assessments, or interviews will result in disqualification.&lt;br&gt;&lt;br&gt;Compensation Range: $100K - $187K&lt;br&gt;&lt;br&gt;</x:v>
      </x:c>
      <x:c r="AB108" s="68" t="str">
        <x:v>About Air Apps
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&amp;amp; dental). 
- Disability insurance - short and long-term. 
- 401k up to 4% contribution. 
- Air Conference – an opportunity to meet the team, collaborate, and grow together. 
- Transportation budget
- Free meals at the hub
- Gym membership
Diversity &amp;amp;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$100K - $187K
</x:v>
      </x:c>
      <x:c r="AC108" s="68" t="str">
        <x:v>Not Applicable</x:v>
      </x:c>
      <x:c r="AD108" s="68" t="str">
        <x:v>Full-time</x:v>
      </x:c>
      <x:c r="AE108" s="68" t="str">
        <x:v>Engineering and Information Technology</x:v>
      </x:c>
      <x:c r="AF108" s="68" t="str">
        <x:v>Technology, Information and Internet</x:v>
      </x:c>
      <x:c r="AG108" s="68" t="str">
        <x:v>https://www.linkedin.com/jobs/search/?position=1&amp;pageNum=0&amp;keywords=AI+Engineer&amp;location=United+States&amp;distance=0&amp;f_TPR=r604800</x:v>
      </x:c>
      <x:c r="AH108" s="68" t="str">
        <x:v>{'type': 'PostalAddress', 'addressLocality': 'San Francisco', 'addressRegion': 'CA', 'addressCountry': 'US'}</x:v>
      </x:c>
      <x:c r="AI108" s="68" t="str">
        <x:v>https://airapps.co</x:v>
      </x:c>
      <x:c r="AJ108" s="68"/>
      <x:c r="AK108" s="68"/>
      <x:c r="AL108" s="68"/>
      <x:c r="AM108" s="68"/>
      <x:c r="AN108" s="68"/>
      <x:c r="AO108" s="68"/>
      <x:c r="AP108" s="68"/>
    </x:row>
    <x:row r="109" s="25" customFormat="1" ht="22" customHeight="1">
      <x:c r="A109" s="68" t="str">
        <x:v>4195750203</x:v>
      </x:c>
      <x:c r="B109" s="68" t="str">
        <x:v>Software Engineer, AI Inference</x:v>
      </x:c>
      <x:c r="C109" s="68" t="str">
        <x:v>Skild AI</x:v>
      </x:c>
      <x:c r="D109" s="68" t="str">
        <x:v>Pittsburgh, PA</x:v>
      </x:c>
      <x:c r="E109" s="68" t="str">
        <x:v>Applied</x:v>
      </x:c>
      <x:c r="F109" s="68"/>
      <x:c r="G109" s="69"/>
      <x:c r="H109" s="85" t="str">
        <x:v>2026-08-10</x:v>
      </x:c>
      <x:c r="I109" s="85"/>
      <x:c r="J109" s="68" t="str">
        <x:v>130</x:v>
      </x:c>
      <x:c r="K109" s="70"/>
      <x:c r="L109" s="86"/>
      <x:c r="M109" s="87"/>
      <x:c r="N109" s="71"/>
      <x:c r="O109" s="88"/>
      <x:c r="P109" s="89"/>
      <x:c r="Q109" s="89"/>
      <x:c r="R109" s="89"/>
      <x:c r="S109" s="73"/>
      <x:c r="T109" s="68"/>
      <x:c r="U109" s="68" t="str">
        <x:v>https://www.linkedin.com/jobs/view/software-engineer-ai-inference-at-skild-ai-4195750203?position=3&amp;pageNum=8&amp;refId=84IM%2FcTm6yKVp3XV1k0rtA%3D%3D&amp;trackingId=%2Bpwq98iCl7I08tKyWgZCTg%3D%3D</x:v>
      </x:c>
      <x:c r="V109" s="68" t="str">
        <x:v>+pwq98iCl7I08tKyWgZCTg==</x:v>
      </x:c>
      <x:c r="W109" s="68" t="str">
        <x:v>84IM/cTm6yKVp3XV1k0rtA==</x:v>
      </x:c>
      <x:c r="X109" s="68" t="str">
        <x:v>https://www.linkedin.com/company/skildai?trk=public_jobs_jserp-result_job-search-card-subtitle</x:v>
      </x:c>
      <x:c r="Y109" s="68" t="str">
        <x:v>https://media.licdn.com/dms/image/v2/D4E0BAQHWFkaL3MJqRQ/company-logo_100_100/company-logo_100_100/0/1720503134494/skild_ai_logo?e=2147483647&amp;v=beta&amp;t=r-71AM518n5DHPWeeELUr5gDaiXWHvTlgTZ3ObgokRs</x:v>
      </x:c>
      <x:c r="Z109" s="68"/>
      <x:c r="AA109" s="68" t="str">
        <x:v>&lt;strong&gt;Company Overview&lt;/strong&gt;&lt;br&gt;&lt;p&gt;At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projects.&lt;/p&gt; &lt;strong&gt;Position Overview&lt;/strong&gt;&lt;br&gt;&lt;p&gt;We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constraints.&lt;/p&gt;&lt;br&gt;&lt;strong&gt;Responsibilities&lt;/strong&gt;&lt;br&gt;&lt;ul&gt;&lt;br&gt;&lt;li&gt;Develop and optimize runtime AI inference pipelines for real-world robotic deployment.&lt;/li&gt;&lt;br&gt;&lt;li&gt;Build infrastructure, frameworks, and tooling to enable reliable integration of models into robotic systems and informative analysis of production models to drive the direction of architecture choice and deployment system design.&lt;/li&gt;&lt;br&gt;&lt;li&gt;Formulate specialized optimization solutions for various inference paradigms and scenarios (autoregressive models, denoising models, hierarchical models, state machines, multi-agent systems, cloud-based inference).&lt;/li&gt;&lt;br&gt;&lt;li&gt;Adapt optimization solutions to various compute, hardware, and networking constraints.&lt;/li&gt;&lt;br&gt;&lt;/ul&gt;&lt;br&gt;&lt;strong&gt;Preferred Qualifications&lt;/strong&gt;&lt;br&gt;&lt;ul&gt;&lt;br&gt;&lt;li&gt;BS, MS or higher degree in Computer Science, Robotics, Engineering or a related field, or equivalent practical experience.&lt;/li&gt;&lt;br&gt;&lt;li&gt;Minimum of 3 years of industry experience.&lt;/li&gt;&lt;br&gt;&lt;li&gt;Proficiency developing in low-level systems languages (C, C++, Rust, Go), Python and at least one deep learning library such as PyTorch, TensorFlow, JAX, etc.&lt;/li&gt;&lt;br&gt;&lt;li&gt;Deep understanding and practical experience with low-level systems concepts (multithreading, networking, embedded systems, memory management).&lt;/li&gt;&lt;br&gt;&lt;li&gt;Experience with CUDA.&lt;/li&gt;&lt;br&gt;&lt;li&gt;Deep understanding of state-of-the-art machine learning techniques and models.&lt;/li&gt;&lt;br&gt;&lt;li&gt;Experience optimizing various machine learning architectures.&lt;/li&gt;&lt;br&gt;&lt;li&gt;Experience with machine learning compilers.&lt;/li&gt;&lt;br&gt;&lt;li&gt;Experience optimizing model inference for robotic systems deployment.&lt;/li&gt;&lt;br&gt;&lt;/ul&gt;&lt;br&gt;&lt;p&gt;&amp;nbsp;&lt;/p&gt; &lt;p&gt;Base Salary Range: $100,000 USD - $300,000 USD&lt;/p&gt;</x:v>
      </x:c>
      <x:c r="AB109" s="68" t="str">
        <x:v>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
Responsibilities
- Develop and optimize runtime AI inference pipelines for real-world robotic deployment.
- Build infrastructure, frameworks, and tooling to enable reliable integration of models into robotic systems and informative analysis of production models to drive the direction of architecture choice and deployment system design.
- Formulate specialized optimization solutions for various inference paradigms and scenarios (autoregressive models, denoising models, hierarchical models, state machines, multi-agent systems, cloud-based inference).
- Adapt optimization solutions to various compute, hardware, and networking constraints.
Preferred Qualifications
- BS, MS or higher degree in Computer Science, Robotics, Engineering or a related field, or equivalent practical experience.
- Minimum of 3 years of industry experience.
- Proficiency developing in low-level systems languages (C, C++, Rust, Go), Python and at least one deep learning library such as PyTorch, TensorFlow, JAX, etc.
- Deep understanding and practical experience with low-level systems concepts (multithreading, networking, embedded systems, memory management).
- Experience with CUDA.
- Deep understanding of state-of-the-art machine learning techniques and models.
- Experience optimizing various machine learning architectures.
- Experience with machine learning compilers.
- Experience optimizing model inference for robotic systems deployment.
&amp;nbsp; 
Base Salary Range: $100,000 USD - $300,000 USD</x:v>
      </x:c>
      <x:c r="AC109" s="68" t="str">
        <x:v>Entry level</x:v>
      </x:c>
      <x:c r="AD109" s="68" t="str">
        <x:v>Full-time</x:v>
      </x:c>
      <x:c r="AE109" s="68" t="str">
        <x:v>Engineering and Information Technology</x:v>
      </x:c>
      <x:c r="AF109" s="68" t="str">
        <x:v>Technology, Information and Internet</x:v>
      </x:c>
      <x:c r="AG109" s="68" t="str">
        <x:v>https://www.linkedin.com/jobs/search/?position=1&amp;pageNum=0&amp;keywords=AI+Engineer&amp;location=United+States&amp;distance=0&amp;f_TPR=r604800</x:v>
      </x:c>
      <x:c r="AH109" s="68" t="str">
        <x:v>{'type': 'PostalAddress', 'streetAddress': '141 S Saint Clair St', 'addressLocality': 'Pittsburgh', 'addressRegion': 'Pennsylvania', 'postalCode': '15206', 'addressCountry': 'US'}</x:v>
      </x:c>
      <x:c r="AI109" s="68" t="str">
        <x:v>https://www.skild.ai/</x:v>
      </x:c>
      <x:c r="AJ109" s="68" t="str">
        <x:v>Building general purpose robotic intelligence.</x:v>
      </x:c>
      <x:c r="AK109" s="68"/>
      <x:c r="AL109" s="68"/>
      <x:c r="AM109" s="68"/>
      <x:c r="AN109" s="68"/>
      <x:c r="AO109" s="68"/>
      <x:c r="AP109" s="68"/>
    </x:row>
    <x:row r="110" s="25" customFormat="1" ht="22" customHeight="1">
      <x:c r="A110" s="68" t="str">
        <x:v>4449673609</x:v>
      </x:c>
      <x:c r="B110" s="68" t="str">
        <x:v>AI Engineer</x:v>
      </x:c>
      <x:c r="C110" s="68" t="str">
        <x:v>Flexjet</x:v>
      </x:c>
      <x:c r="D110" s="68" t="str">
        <x:v>Cleveland, OH</x:v>
      </x:c>
      <x:c r="E110" s="68" t="str">
        <x:v>Applied</x:v>
      </x:c>
      <x:c r="F110" s="68"/>
      <x:c r="G110" s="69"/>
      <x:c r="H110" s="85" t="str">
        <x:v>2026-08-05</x:v>
      </x:c>
      <x:c r="I110" s="85"/>
      <x:c r="J110" s="68" t="str">
        <x:v>200</x:v>
      </x:c>
      <x:c r="K110" s="70"/>
      <x:c r="L110" s="86"/>
      <x:c r="M110" s="87"/>
      <x:c r="N110" s="71"/>
      <x:c r="O110" s="88"/>
      <x:c r="P110" s="89"/>
      <x:c r="Q110" s="89"/>
      <x:c r="R110" s="89"/>
      <x:c r="S110" s="73"/>
      <x:c r="T110" s="68"/>
      <x:c r="U110" s="68" t="str">
        <x:v>https://www.linkedin.com/jobs/view/ai-engineer-at-flexjet-4449673609?position=5&amp;pageNum=9&amp;refId=4HZ1xwQ%2B2NTJNDX8a%2Bj14Q%3D%3D&amp;trackingId=vmKoNDOYL1wv2XEDzyRtRg%3D%3D</x:v>
      </x:c>
      <x:c r="V110" s="68" t="str">
        <x:v>vmKoNDOYL1wv2XEDzyRtRg==</x:v>
      </x:c>
      <x:c r="W110" s="68" t="str">
        <x:v>4HZ1xwQ+2NTJNDX8a+j14Q==</x:v>
      </x:c>
      <x:c r="X110" s="68" t="str">
        <x:v>https://www.linkedin.com/company/flexjet?trk=public_jobs_jserp-result_job-search-card-subtitle</x:v>
      </x:c>
      <x:c r="Y110" s="68" t="str">
        <x:v>https://media.licdn.com/dms/image/v2/C4D0BAQEZ3y-JhlzybQ/company-logo_100_100/company-logo_100_100/0/1631303453564?e=2147483647&amp;v=beta&amp;t=pUvpoR3uNRZTr4Sie5sOhF7aXbtKQwH2_pufqyHc-NE</x:v>
      </x:c>
      <x:c r="Z110" s="68"/>
      <x:c r="AA110" s="68" t="str">
        <x:v>&lt;strong&gt;Position Summary&lt;br&gt;&lt;br&gt;&lt;/strong&gt;Flexjet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experiences.&lt;br&gt;&lt;br&gt;&lt;strong&gt;Duties &amp;amp; Responsibilities&lt;br&gt;&lt;br&gt;&lt;/strong&gt;&lt;ul&gt;&lt;li&gt; Design and develop machine learning and deep learning models for real-world applications&lt;/li&gt;&lt;li&gt; Build, test, and deploy AI/ML pipelines in production environments&lt;/li&gt;&lt;li&gt; Collaborate with cross-functional teams to translate business needs into AI solutions&lt;/li&gt;&lt;li&gt; Optimize model performance, scalability, and reliability&lt;/li&gt;&lt;li&gt; Work with large datasets: preprocessing, feature engineering, and data validation&lt;/li&gt;&lt;li&gt; Implement APIs and integrate AI models into existing systems&lt;/li&gt;&lt;li&gt; Monitor model performance and retrain as needed&lt;/li&gt;&lt;li&gt; Stay up to date with the latest advancements in AI and machine learning&lt;br&gt;&lt;br&gt;&lt;/li&gt;&lt;/ul&gt;&lt;strong&gt;Required Skills &amp;amp; Qualifications&lt;br&gt;&lt;br&gt;&lt;/strong&gt;&lt;ul&gt;&lt;li&gt; Bachelor’s or Master’s degree in Computer Science, Engineering, Data Science, or a related field&lt;/li&gt;&lt;li&gt; Strong programming skills in Python (and/or Java, C++)&lt;/li&gt;&lt;li&gt; Experience with machine learning frameworks (e.g., TensorFlow, PyTorch, scikit-learn)&lt;/li&gt;&lt;li&gt; Solid understanding of algorithms, data structures, and software engineering principles&lt;/li&gt;&lt;li&gt; Experience with data processing tools (e.g., Pandas, NumPy, SQL)&lt;/li&gt;&lt;li&gt; Familiarity with cloud platforms (AWS, Azure, or Google Cloud)&lt;/li&gt;&lt;li&gt; Knowledge of RESTful APIs and microservices architecture&lt;br&gt;&lt;br&gt;&lt;/li&gt;&lt;/ul&gt;&lt;strong&gt;Preferred Qualifications&lt;br&gt;&lt;br&gt;&lt;/strong&gt;&lt;ul&gt;&lt;li&gt; Experience with NLP, computer vision, or generative AI&lt;/li&gt;&lt;li&gt; Familiarity with MLOps tools (e.g., Docker, Kubernetes, CI/CD pipelines)&lt;/li&gt;&lt;li&gt; Experience deploying models at scale in production environments&lt;/li&gt;&lt;li&gt; Knowledge of big data technologies (e.g., Spark, Hadoop)&lt;/li&gt;&lt;li&gt; Understanding of AI ethics and responsible AI practices&lt;/li&gt;&lt;li&gt; Problem-solving and analytical thinking&lt;/li&gt;&lt;li&gt; Strong communication and collaboration skills&lt;/li&gt;&lt;li&gt; Ability to work in a fast-paced, agile environment&lt;/li&gt;&lt;li&gt; Attention to detail and commitment to quality&lt;/li&gt;&lt;/ul&gt;</x:v>
      </x:c>
      <x:c r="AB110" s="68" t="str">
        <x:v>Position Summary
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
Duties &amp;amp; Responsibilities
-  Design and develop machine learning and deep learning models for real-world applications
-  Build, test, and deploy AI/ML pipelines in production environments
-  Collaborate with cross-functional teams to translate business needs into AI solutions
-  Optimize model performance, scalability, and reliability
-  Work with large datasets: preprocessing, feature engineering, and data validation
-  Implement APIs and integrate AI models into existing systems
-  Monitor model performance and retrain as needed
-  Stay up to date with the latest advancements in AI and machine learning
Required Skills &amp;amp; Qualifications
-  Bachelor’s or Master’s degree in Computer Science, Engineering, Data Science, or a related field
-  Strong programming skills in Python (and/or Java, C++)
-  Experience with machine learning frameworks (e.g., TensorFlow, PyTorch, scikit-learn)
-  Solid understanding of algorithms, data structures, and software engineering principles
-  Experience with data processing tools (e.g., Pandas, NumPy, SQL)
-  Familiarity with cloud platforms (AWS, Azure, or Google Cloud)
-  Knowledge of RESTful APIs and microservices architecture
Preferred Qualifications
-  Experience with NLP, computer vision, or generative AI
-  Familiarity with MLOps tools (e.g., Docker, Kubernetes, CI/CD pipelines)
-  Experience deploying models at scale in production environments
-  Knowledge of big data technologies (e.g., Spark, Hadoop)
-  Understanding of AI ethics and responsible AI practices
-  Problem-solving and analytical thinking
-  Strong communication and collaboration skills
-  Ability to work in a fast-paced, agile environment
-  Attention to detail and commitment to quality</x:v>
      </x:c>
      <x:c r="AC110" s="68" t="str">
        <x:v>Mid-Senior level</x:v>
      </x:c>
      <x:c r="AD110" s="68" t="str">
        <x:v>Full-time</x:v>
      </x:c>
      <x:c r="AE110" s="68" t="str">
        <x:v>Strategy/Planning and Information Technology</x:v>
      </x:c>
      <x:c r="AF110" s="68" t="str">
        <x:v>Aviation and Aerospace Component Manufacturing</x:v>
      </x:c>
      <x:c r="AG110" s="68" t="str">
        <x:v>https://www.linkedin.com/jobs/search/?position=1&amp;pageNum=0&amp;keywords=AI+Engineer&amp;location=United+States&amp;distance=0&amp;f_TPR=r604800</x:v>
      </x:c>
      <x:c r="AH110" s="68" t="str">
        <x:v>{'type': 'PostalAddress', 'streetAddress': '26180 Curtiss-Wright Parkway', 'addressLocality': 'Cleveland', 'addressRegion': 'Ohio', 'postalCode': '44143', 'addressCountry': 'US'}</x:v>
      </x:c>
      <x:c r="AI110" s="68" t="str">
        <x:v>https://www.flexjet.com/</x:v>
      </x:c>
      <x:c r="AJ110" s="68" t="str">
        <x:v>30 years of innovation, safety and luxury experiences as a global leader in private aviation. </x:v>
      </x:c>
      <x:c r="AK110" s="68"/>
      <x:c r="AL110" s="68"/>
      <x:c r="AM110" s="68"/>
      <x:c r="AN110" s="68"/>
      <x:c r="AO110" s="68"/>
      <x:c r="AP110" s="68"/>
    </x:row>
    <x:row r="111" s="25" customFormat="1" ht="22" customHeight="1">
      <x:c r="A111" s="68" t="str">
        <x:v>4434025418</x:v>
      </x:c>
      <x:c r="B111" s="68" t="str">
        <x:v>Machine Learning Engineer</x:v>
      </x:c>
      <x:c r="C111" s="68" t="str">
        <x:v>WireScreen</x:v>
      </x:c>
      <x:c r="D111" s="68" t="str">
        <x:v>New York, NY</x:v>
      </x:c>
      <x:c r="E111" s="68" t="str">
        <x:v>Applied</x:v>
      </x:c>
      <x:c r="F111" s="68"/>
      <x:c r="G111" s="69"/>
      <x:c r="H111" s="85" t="str">
        <x:v>2026-08-09</x:v>
      </x:c>
      <x:c r="I111" s="85"/>
      <x:c r="J111" s="68" t="str">
        <x:v>200</x:v>
      </x:c>
      <x:c r="K111" s="70"/>
      <x:c r="L111" s="86"/>
      <x:c r="M111" s="87"/>
      <x:c r="N111" s="71"/>
      <x:c r="O111" s="88"/>
      <x:c r="P111" s="89"/>
      <x:c r="Q111" s="89"/>
      <x:c r="R111" s="89"/>
      <x:c r="S111" s="73"/>
      <x:c r="T111" s="68"/>
      <x:c r="U111" s="68" t="str">
        <x:v>https://www.linkedin.com/jobs/view/machine-learning-engineer-at-wirescreen-4434025418?position=4&amp;pageNum=9&amp;refId=4HZ1xwQ%2B2NTJNDX8a%2Bj14Q%3D%3D&amp;trackingId=zYpaRVKKayvIaB7B35A%2FcA%3D%3D</x:v>
      </x:c>
      <x:c r="V111" s="68" t="str">
        <x:v>zYpaRVKKayvIaB7B35A/cA==</x:v>
      </x:c>
      <x:c r="W111" s="68" t="str">
        <x:v>4HZ1xwQ+2NTJNDX8a+j14Q==</x:v>
      </x:c>
      <x:c r="X111" s="68" t="str">
        <x:v>https://www.linkedin.com/company/wirescreen-ai?trk=public_jobs_jserp-result_job-search-card-subtitle</x:v>
      </x:c>
      <x:c r="Y111" s="68" t="str">
        <x:v>https://media.licdn.com/dms/image/v2/D560BAQEFJzs7BUlscw/company-logo_100_100/company-logo_100_100/0/1694629426823/wirescreen_ai_logo?e=2147483647&amp;v=beta&amp;t=nNHpBA60680ushrh6--aaPDAoY8AYGD311OpHOlhHHU</x:v>
      </x:c>
      <x:c r="Z111" s="68"/>
      <x:c r="AA111" s="68" t="str">
        <x:v>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decisions.&lt;br&gt;&lt;br&gt;Backed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us.&lt;br&gt;&lt;br&gt;&lt;strong&gt;About The Role&lt;br&gt;&lt;br&gt;&lt;/strong&gt;As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achievable.&lt;br&gt;&lt;br&gt;Reporting directly to the VP of Engineering, you will work with our data team, enrichment team and product to establish our source of truth and expand our machine learning capabilities.&lt;br&gt;&lt;br&gt;&lt;strong&gt;What You'll Do&lt;br&gt;&lt;br&gt;&lt;/strong&gt;&lt;ul&gt;&lt;li&gt;Fine tune our existing entity resolution algorithms to uncover hidden connections between people and organizations across China&lt;/li&gt;&lt;li&gt;Expand our knowledge graph with alternative data to map out the power structure of China&lt;/li&gt;&lt;li&gt;Train, test and deploy ML models that operate on tens of millions of records daily&lt;/li&gt;&lt;li&gt;Work with Product to define and implement evaluation harnesses for classical ML and agentic systems&lt;/li&gt;&lt;li&gt;Build agent workflows into internal tools to improve the scale and speed of our Research team&lt;br&gt;&lt;br&gt;&lt;/li&gt;&lt;/ul&gt;&lt;strong&gt;What We’re Looking For&lt;br&gt;&lt;br&gt;&lt;/strong&gt;&lt;ul&gt;&lt;li&gt;4+ years of experience working on clustering-type ML problems, ideally in the domain of knowledge graphs / entity resolution, but other domains could include; recommendation engines, cohort analysis, outlier/anomaly detection&lt;/li&gt;&lt;li&gt;End-to-end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learning.&lt;/li&gt;&lt;li&gt;Significant experience with python programming and SQL&lt;br&gt;&lt;br&gt;&lt;/li&gt;&lt;/ul&gt;&lt;strong&gt;Nice To Have&lt;br&gt;&lt;br&gt;&lt;/strong&gt;&lt;ul&gt;&lt;li&gt;Experience working with Frontier/SOTA models and/or fine-tuning your own LLMs for specific tasks&lt;/li&gt;&lt;li&gt;Working on problems across large, heterogeneous, messy unstructured datasets and/or with semantic search, computer vision (especially OCR), or linear optimization problems&lt;/li&gt;&lt;li&gt;Experience with any of the following technologies: PySpark, Temporal, FastAPI, Scikit-learn, NumPy, Docker, Terraform, Kubernetes&lt;/li&gt;&lt;li&gt;Early-stage startup experience (Series B or earlier)&lt;/li&gt;&lt;li&gt;B2B SaaS experience&lt;br&gt;&lt;br&gt;&lt;/li&gt;&lt;/ul&gt;&lt;strong&gt;What You'll Love About Wirescreen&lt;br&gt;&lt;br&gt;&lt;/strong&gt;At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matters.&lt;br&gt;&lt;br&gt;&lt;strong&gt;Benefits &amp;amp; Perks&lt;br&gt;&lt;br&gt;&lt;/strong&gt;At WireScreen, we care deeply about our team and are committed to supporting your well-being—both in and out of the workplace. Here’s how we take care of our employees:&lt;br&gt;&lt;br&gt;&lt;ul&gt;&lt;li&gt;Competitive compensation including salary, equity, and rapid growth potential&lt;/li&gt;&lt;li&gt;100% company-paid Medical, Dental, and Vision coverage for employees&lt;/li&gt;&lt;li&gt;FSA, HSA, and 401(k) options to help you plan for healthcare expenses and retirement&lt;/li&gt;&lt;li&gt;Generous paid time off plus company-wide holidays to help you rest and recharge&lt;/li&gt;&lt;li&gt;Pre-tax commuter benefits to help you save on transit and parking&lt;/li&gt;&lt;li&gt;Hybrid office schedule designed to give you flexibility while staying connected with your team&lt;br&gt;&lt;br&gt;&lt;/li&gt;&lt;/ul&gt;</x:v>
      </x:c>
      <x:c r="AB111" s="68" t="str">
        <x:v>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
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
About The Role
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
Reporting directly to the VP of Engineering, you will work with our data team, enrichment team and product to establish our source of truth and expand our machine learning capabilities.
What You'll Do
- Fine tune our existing entity resolution algorithms to uncover hidden connections between people and organizations across China
- Expand our knowledge graph with alternative data to map out the power structure of China
- Train, test and deploy ML models that operate on tens of millions of records daily
- Work with Product to define and implement evaluation harnesses for classical ML and agentic systems
- Build agent workflows into internal tools to improve the scale and speed of our Research team
What We’re Looking For
- 4+ years of experience working on clustering-type ML problems, ideally in the domain of knowledge graphs / entity resolution, but other domains could include; recommendation engines, cohort analysis, outlier/anomaly detection
- 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
- Significant experience with python programming and SQL
Nice To Have
- Experience working with Frontier/SOTA models and/or fine-tuning your own LLMs for specific tasks
- Working on problems across large, heterogeneous, messy unstructured datasets and/or with semantic search, computer vision (especially OCR), or linear optimization problems
- Experience with any of the following technologies: PySpark, Temporal, FastAPI, Scikit-learn, NumPy, Docker, Terraform, Kubernetes
- Early-stage startup experience (Series B or earlier)
- B2B SaaS experience
What You'll Love About Wirescreen
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
Benefits &amp;amp; Perks
At WireScreen, we care deeply about our team and are committed to supporting your well-being—both in and out of the workplace. Here’s how we take care of our employees:
- Competitive compensation including salary, equity, and rapid growth potential
- 100% company-paid Medical, Dental, and Vision coverage for employees
- FSA, HSA, and 401(k) options to help you plan for healthcare expenses and retirement
- Generous paid time off plus company-wide holidays to help you rest and recharge
- Pre-tax commuter benefits to help you save on transit and parking
- Hybrid office schedule designed to give you flexibility while staying connected with your team
</x:v>
      </x:c>
      <x:c r="AC111" s="68" t="str">
        <x:v>Not Applicable</x:v>
      </x:c>
      <x:c r="AD111" s="68" t="str">
        <x:v>Full-time</x:v>
      </x:c>
      <x:c r="AE111" s="68" t="str">
        <x:v>Engineering and Information Technology</x:v>
      </x:c>
      <x:c r="AF111" s="68" t="str">
        <x:v>Information Services</x:v>
      </x:c>
      <x:c r="AG111" s="68" t="str">
        <x:v>https://www.linkedin.com/jobs/search/?position=1&amp;pageNum=0&amp;keywords=AI+Engineer&amp;location=United+States&amp;distance=0&amp;f_TPR=r604800</x:v>
      </x:c>
      <x:c r="AH111" s="68" t="str">
        <x:v>{'type': 'PostalAddress', 'addressLocality': 'New York City', 'addressRegion': 'NY', 'addressCountry': 'US'}</x:v>
      </x:c>
      <x:c r="AI111" s="68" t="str">
        <x:v>https://www.wirescreen.ai/</x:v>
      </x:c>
      <x:c r="AJ111" s="68" t="str">
        <x:v>The premier China-focused risk intelligence platform</x:v>
      </x:c>
      <x:c r="AK111" s="68"/>
      <x:c r="AL111" s="68"/>
      <x:c r="AM111" s="68"/>
      <x:c r="AN111" s="68"/>
      <x:c r="AO111" s="68"/>
      <x:c r="AP111" s="68"/>
    </x:row>
    <x:row r="112" s="25" customFormat="1" ht="22" customHeight="1">
      <x:c r="A112" s="68" t="str">
        <x:v>4334772124</x:v>
      </x:c>
      <x:c r="B112" s="68" t="str">
        <x:v>AI Applications Engineer</x:v>
      </x:c>
      <x:c r="C112" s="68" t="str">
        <x:v>Notion</x:v>
      </x:c>
      <x:c r="D112" s="68" t="str">
        <x:v>San Francisco, CA</x:v>
      </x:c>
      <x:c r="E112" s="68" t="str">
        <x:v>In Progress</x:v>
      </x:c>
      <x:c r="F112" s="68"/>
      <x:c r="G112" s="69"/>
      <x:c r="H112" s="85" t="str">
        <x:v>2026-08-07</x:v>
      </x:c>
      <x:c r="I112" s="85"/>
      <x:c r="J112" s="68" t="str">
        <x:v>200</x:v>
      </x:c>
      <x:c r="K112" s="70"/>
      <x:c r="L112" s="86"/>
      <x:c r="M112" s="87"/>
      <x:c r="N112" s="71"/>
      <x:c r="O112" s="88"/>
      <x:c r="P112" s="89"/>
      <x:c r="Q112" s="89"/>
      <x:c r="R112" s="89"/>
      <x:c r="S112" s="73"/>
      <x:c r="T112" s="68"/>
      <x:c r="U112" s="68" t="str">
        <x:v>https://www.linkedin.com/jobs/view/ai-applications-engineer-at-notion-4334772124?position=6&amp;pageNum=9&amp;refId=4HZ1xwQ%2B2NTJNDX8a%2Bj14Q%3D%3D&amp;trackingId=5SYe4BQehY2DSwd1Chpu9A%3D%3D</x:v>
      </x:c>
      <x:c r="V112" s="68" t="str">
        <x:v>5SYe4BQehY2DSwd1Chpu9A==</x:v>
      </x:c>
      <x:c r="W112" s="68" t="str">
        <x:v>4HZ1xwQ+2NTJNDX8a+j14Q==</x:v>
      </x:c>
      <x:c r="X112" s="68" t="str">
        <x:v>https://www.linkedin.com/company/notionhq?trk=public_jobs_jserp-result_job-search-card-subtitle</x:v>
      </x:c>
      <x:c r="Y112" s="68" t="str">
        <x:v>https://media.licdn.com/dms/image/v2/D4E0BAQGwvcv_1tHZ4w/company-logo_100_100/B4EZW25gE2GgAQ-/0/1742530282185/notionhq_logo?e=2147483647&amp;v=beta&amp;t=h_sgZm5R2TgP9Fpbo95m2wmxnSDoEz06eupofZwpSXs</x:v>
      </x:c>
      <x:c r="Z112" s="68"/>
      <x:c r="AA112" s="68" t="str">
        <x:v>Who We Are&lt;br&gt;&lt;br&gt;Notion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Notion.&lt;br&gt;&lt;br&gt;Notinos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work.&lt;br&gt;&lt;br&gt;&lt;strong&gt;About The Role&lt;br&gt;&lt;br&gt;&lt;/strong&gt;We’re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teams.&lt;br&gt;&lt;br&gt;This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days.&lt;br&gt;&lt;br&gt;What You’ll Achieve&lt;br&gt;&lt;br&gt;&lt;ul&gt;&lt;li&gt;Work with stakeholders to discover opportunities from ambiguous problem statements, translate them into scoped solutions, and drive iterative releases from idea to adoption&lt;/li&gt;&lt;li&gt;Build and ship end‑to‑end AI solutions—from problem framing through data readiness, modeling, evaluation, and production rollout&lt;/li&gt;&lt;li&gt;Establish evaluation and production-readiness patterns (metrics, monitoring, human-in-the-loop, rollout plans) so solutions are reliable at scale&lt;/li&gt;&lt;li&gt;Create reusable components, tooling, templates, and playbooks that accelerate future projects and enable other teams to ship safely&lt;br&gt;&lt;br&gt;&lt;/li&gt;&lt;/ul&gt;Skills You’ll Need To Bring&lt;br&gt;&lt;br&gt;&lt;ul&gt;&lt;li&gt;4-8 years of experience as a Software Engineer or Data Engineer (or equivalent), with a track record of building and operating production systems end-to-end across application code, data, and infrastructure. Domain experience partnering with GTM and Finance is a plus.&lt;/li&gt;&lt;li&gt;Experience building AI-enabled applications in production (LLMs and/or classical ML), including prompt + tool orchestration, retrieval, evaluation, and iteration based on real-world feedback.&lt;/li&gt;&lt;li&gt;Strong production-readiness instincts, including observability, monitoring, quality gates, incident response, and safe rollouts/rollbacks in live business workflows.&lt;/li&gt;&lt;li&gt;Systems and integration fluency across APIs, data pipelines, and enterprise tools (e.g., CRM, finance, ticketing, HRIS), with the ability to navigate messy systems and still deliver reliable outcomes.&lt;/li&gt;&lt;li&gt;Impact-driven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value.&lt;/li&gt;&lt;li&gt;Thoughtful problem-solving: You start with a clear understanding of context, align technical and non-technical partners, and translate AI concepts into actionable business outcomes. You navigate ambiguity and decompose complex problems into clean solutions.&lt;/li&gt;&lt;li&gt;Empathetic communication and collaboration: You communicate nuanced ideas clearly and enjoy collaborating across engineering, data, and business teams.&lt;/li&gt;&lt;li&gt;Familiarity with security, privacy, and governance for AI (access controls, PII handling, vendor/tool risk, auditability).&lt;br&gt;&lt;br&gt;&lt;/li&gt;&lt;/ul&gt;Notion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year.&lt;br&gt;&lt;br&gt;By clicking “Submit Application”, I understand and agree that Notion and its affiliates and subsidiaries will collect and process my information in accordance with Notion’s Global Recruiting Privacy Policy. &lt;br&gt;&lt;br&gt;A Note on AI&lt;br&gt;&lt;br&gt;You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on.&lt;br&gt;&lt;br&gt;Equal Opportunity &amp;amp; Accommodations&lt;br&gt;&lt;br&gt;We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know.&lt;br&gt;&lt;br&gt;Notion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know.&lt;br&gt;&lt;br&gt;</x:v>
      </x:c>
      <x:c r="AB112" s="68" t="str">
        <x:v>Who We Are
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Work with stakeholders to discover opportunities from ambiguous problem statements, translate them into scoped solutions, and drive iterative releases from idea to adoption
- Build and ship end‑to‑end AI solutions—from problem framing through data readiness, modeling, evaluation, and production rollout
- Establish evaluation and production-readiness patterns (metrics, monitoring, human-in-the-loop, rollout plans) so solutions are reliable at scale
- Create reusable components, tooling, templates, and playbooks that accelerate future projects and enable other teams to ship safely
Skills You’ll Need To Bring
- 4-8 years of experience as a Software Engineer or Data Engineer (or equivalent), with a track record of building and operating production systems end-to-end across application code, data, and infrastructure. Domain experience partnering with GTM and Finance is a plus.
- Experience building AI-enabled applications in production (LLMs and/or classical ML), including prompt + tool orchestration, retrieval, evaluation, and iteration based on real-world feedback.
- Strong production-readiness instincts, including observability, monitoring, quality gates, incident response, and safe rollouts/rollbacks in live business workflows.
- Systems and integration fluency across APIs, data pipelines, and enterprise tools (e.g., CRM, finance, ticketing, HRIS), with the ability to navigate messy systems and still deliver reliable outcomes.
- 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
- Thoughtful problem-solving: You start with a clear understanding of context, align technical and non-technical partners, and translate AI concepts into actionable business outcomes. You navigate ambiguity and decompose complex problems into clean solutions.
- Empathetic communication and collaboration: You communicate nuanced ideas clearly and enjoy collaborating across engineering, data, and business teams.
- Familiarity with security, privacy, and governance for AI (access controls, PII handling, vendor/tool risk, auditability).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
By clicking “Submit Application”, I understand and agree that Notion and its affiliates and subsidiaries will collect and process my information in accordance with Notion’s Global Recruiting Privacy Policy.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x:v>
      </x:c>
      <x:c r="AC112" s="68" t="str">
        <x:v>Not Applicable</x:v>
      </x:c>
      <x:c r="AD112" s="68" t="str">
        <x:v>Full-time</x:v>
      </x:c>
      <x:c r="AE112" s="68" t="str">
        <x:v>Engineering and Information Technology</x:v>
      </x:c>
      <x:c r="AF112" s="68" t="str">
        <x:v>Software Development</x:v>
      </x:c>
      <x:c r="AG112" s="68" t="str">
        <x:v>https://www.linkedin.com/jobs/search/?position=1&amp;pageNum=0&amp;keywords=AI+Engineer&amp;location=United+States&amp;distance=0&amp;f_TPR=r604800</x:v>
      </x:c>
      <x:c r="AH112" s="68" t="str">
        <x:v>{'type': 'PostalAddress', 'addressLocality': 'San Francisco', 'addressRegion': 'California', 'postalCode': '94110', 'addressCountry': 'US'}</x:v>
      </x:c>
      <x:c r="AI112" s="68" t="str">
        <x:v>https://notion.com</x:v>
      </x:c>
      <x:c r="AJ112" s="68" t="str">
        <x:v>The AI workspace that works while you sleep.</x:v>
      </x:c>
      <x:c r="AK112" s="68"/>
      <x:c r="AL112" s="68"/>
      <x:c r="AM112" s="68"/>
      <x:c r="AN112" s="68"/>
      <x:c r="AO112" s="68"/>
      <x:c r="AP112" s="68"/>
    </x:row>
    <x:row r="113" s="25" customFormat="1" ht="22" customHeight="1">
      <x:c r="A113" s="68" t="str">
        <x:v>4366038685</x:v>
      </x:c>
      <x:c r="B113" s="68" t="str">
        <x:v>AI &amp; Automation Engineer</x:v>
      </x:c>
      <x:c r="C113" s="68" t="str">
        <x:v>D.A. Davidson Companies</x:v>
      </x:c>
      <x:c r="D113" s="68" t="str">
        <x:v>Helena, MT</x:v>
      </x:c>
      <x:c r="E113" s="68" t="str">
        <x:v>In Progress</x:v>
      </x:c>
      <x:c r="F113" s="68"/>
      <x:c r="G113" s="69"/>
      <x:c r="H113" s="85" t="str">
        <x:v>2026-08-11</x:v>
      </x:c>
      <x:c r="I113" s="85"/>
      <x:c r="J113" s="68" t="str">
        <x:v>25</x:v>
      </x:c>
      <x:c r="K113" s="70" t="str">
        <x:v>$90,000.00/yr - $120,000.00/yr</x:v>
      </x:c>
      <x:c r="L113" s="86"/>
      <x:c r="M113" s="87"/>
      <x:c r="N113" s="71"/>
      <x:c r="O113" s="88"/>
      <x:c r="P113" s="89"/>
      <x:c r="Q113" s="89"/>
      <x:c r="R113" s="89"/>
      <x:c r="S113" s="73"/>
      <x:c r="T113" s="68"/>
      <x:c r="U113" s="68" t="str">
        <x:v>https://www.linkedin.com/jobs/view/ai-automation-engineer-at-d-a-davidson-companies-4366038685?position=7&amp;pageNum=9&amp;refId=4HZ1xwQ%2B2NTJNDX8a%2Bj14Q%3D%3D&amp;trackingId=jrgoX9HQbRx1oPCGkN251g%3D%3D</x:v>
      </x:c>
      <x:c r="V113" s="68" t="str">
        <x:v>jrgoX9HQbRx1oPCGkN251g==</x:v>
      </x:c>
      <x:c r="W113" s="68" t="str">
        <x:v>4HZ1xwQ+2NTJNDX8a+j14Q==</x:v>
      </x:c>
      <x:c r="X113" s="68" t="str">
        <x:v>https://www.linkedin.com/company/d-a--davidson-&amp;-co-?trk=public_jobs_jserp-result_job-search-card-subtitle</x:v>
      </x:c>
      <x:c r="Y113" s="68" t="str">
        <x:v>https://media.licdn.com/dms/image/v2/D560BAQEW4iHZgTEO6A/company-logo_100_100/B56ZWMdIMbGsAQ-/0/1741818201141/d_a__davidson__co__logo?e=2147483647&amp;v=beta&amp;t=k-Nl4RtWQ_xMIv6z4WE2BZ4AzgDxbUQ0dDL2goHmNI4</x:v>
      </x:c>
      <x:c r="Z113" s="68"/>
      <x:c r="AA113" s="68" t="str">
        <x:v>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v>
      </x:c>
      <x:c r="AB113" s="68" t="str">
        <x:v>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v>
      </x:c>
      <x:c r="AC113" s="68" t="str">
        <x:v>Not Applicable</x:v>
      </x:c>
      <x:c r="AD113" s="68" t="str">
        <x:v>Full-time</x:v>
      </x:c>
      <x:c r="AE113" s="68" t="str">
        <x:v>Engineering and Information Technology</x:v>
      </x:c>
      <x:c r="AF113" s="68" t="str">
        <x:v>Software Development</x:v>
      </x:c>
      <x:c r="AG113" s="68" t="str">
        <x:v>https://www.linkedin.com/jobs/search/?position=1&amp;pageNum=0&amp;keywords=AI+Engineer&amp;location=United+States&amp;distance=0&amp;f_TPR=r604800</x:v>
      </x:c>
      <x:c r="AH113" s="68" t="str">
        <x:v>{'type': 'PostalAddress', 'streetAddress': '8 3rd St N', 'addressLocality': 'Great Falls', 'addressRegion': 'Montana', 'postalCode': '59401', 'addressCountry': 'US'}</x:v>
      </x:c>
      <x:c r="AI113" s="68" t="str">
        <x:v>http://dadavidson.com</x:v>
      </x:c>
      <x:c r="AJ113" s="68"/>
      <x:c r="AK113" s="68"/>
      <x:c r="AL113" s="68"/>
      <x:c r="AM113" s="68"/>
      <x:c r="AN113" s="68"/>
      <x:c r="AO113" s="68"/>
      <x:c r="AP113" s="68"/>
    </x:row>
    <x:row r="114" s="25" customFormat="1" ht="22" customHeight="1">
      <x:c r="A114" s="68" t="str">
        <x:v>4384371337</x:v>
      </x:c>
      <x:c r="B114" s="68" t="str">
        <x:v>Artificial Intelligence (AI) Engineer</x:v>
      </x:c>
      <x:c r="C114" s="68" t="str">
        <x:v>WilmerHale</x:v>
      </x:c>
      <x:c r="D114" s="68" t="str">
        <x:v>Washington, DC</x:v>
      </x:c>
      <x:c r="E114" s="68" t="str">
        <x:v>Applied</x:v>
      </x:c>
      <x:c r="F114" s="68"/>
      <x:c r="G114" s="69"/>
      <x:c r="H114" s="85" t="str">
        <x:v>2026-08-09</x:v>
      </x:c>
      <x:c r="I114" s="85"/>
      <x:c r="J114" s="68" t="str">
        <x:v>200</x:v>
      </x:c>
      <x:c r="K114" s="70"/>
      <x:c r="L114" s="86"/>
      <x:c r="M114" s="87"/>
      <x:c r="N114" s="71"/>
      <x:c r="O114" s="88"/>
      <x:c r="P114" s="89"/>
      <x:c r="Q114" s="89"/>
      <x:c r="R114" s="89"/>
      <x:c r="S114" s="73"/>
      <x:c r="T114" s="68"/>
      <x:c r="U114" s="68" t="str">
        <x:v>https://www.linkedin.com/jobs/view/artificial-intelligence-ai-engineer-at-wilmerhale-4384371337?position=8&amp;pageNum=9&amp;refId=4HZ1xwQ%2B2NTJNDX8a%2Bj14Q%3D%3D&amp;trackingId=kPmL1nW%2B5ujXA2PkaX0Ihg%3D%3D</x:v>
      </x:c>
      <x:c r="V114" s="68" t="str">
        <x:v>kPmL1nW+5ujXA2PkaX0Ihg==</x:v>
      </x:c>
      <x:c r="W114" s="68" t="str">
        <x:v>4HZ1xwQ+2NTJNDX8a+j14Q==</x:v>
      </x:c>
      <x:c r="X114" s="68" t="str">
        <x:v>https://www.linkedin.com/company/wilmerhale?trk=public_jobs_jserp-result_job-search-card-subtitle</x:v>
      </x:c>
      <x:c r="Y114" s="68" t="str">
        <x:v>https://media.licdn.com/dms/image/v2/D560BAQHTG2lVMYcDvw/company-logo_100_100/company-logo_100_100/0/1719839316153/wilmerhale_logo?e=2147483647&amp;v=beta&amp;t=AFMPqHrmRhpeHvlc2FLijqzP9e6DWU6gAYyb5UXI4v8</x:v>
      </x:c>
      <x:c r="Z114" s="68"/>
      <x:c r="AA114" s="68" t="str">
        <x:v>&lt;strong&gt;Job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x:v>
      </x:c>
      <x:c r="AB114" s="68" t="str">
        <x:v>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x:v>
      </x:c>
      <x:c r="AC114" s="68" t="str">
        <x:v>Not Applicable</x:v>
      </x:c>
      <x:c r="AD114" s="68" t="str">
        <x:v>Full-time</x:v>
      </x:c>
      <x:c r="AE114" s="68" t="str">
        <x:v>Quality Assurance, Finance, and Information Technology</x:v>
      </x:c>
      <x:c r="AF114" s="68" t="str">
        <x:v>Law Practice</x:v>
      </x:c>
      <x:c r="AG114" s="68" t="str">
        <x:v>https://www.linkedin.com/jobs/search/?position=1&amp;pageNum=0&amp;keywords=AI+Engineer&amp;location=United+States&amp;distance=0&amp;f_TPR=r604800</x:v>
      </x:c>
      <x:c r="AH114" s="68" t="str">
        <x:v>{'type': 'PostalAddress', 'streetAddress': '2100 Pennsylvania Ave NW', 'addressLocality': 'Washington', 'addressRegion': 'District of Columbia', 'postalCode': '20037', 'addressCountry': 'US'}</x:v>
      </x:c>
      <x:c r="AI114" s="68" t="str">
        <x:v>https://www.wilmerhale.com</x:v>
      </x:c>
      <x:c r="AJ114" s="68" t="str">
        <x:v>Legal excellence. Dedication to clients. Commitment to public service.</x:v>
      </x:c>
      <x:c r="AK114" s="68"/>
      <x:c r="AL114" s="68"/>
      <x:c r="AM114" s="68"/>
      <x:c r="AN114" s="68"/>
      <x:c r="AO114" s="68"/>
      <x:c r="AP114" s="68"/>
    </x:row>
    <x:row r="115" s="25" customFormat="1" ht="22" customHeight="1">
      <x:c r="A115" s="68" t="str">
        <x:v>4449226088</x:v>
      </x:c>
      <x:c r="B115" s="68" t="str">
        <x:v>AI Engineer</x:v>
      </x:c>
      <x:c r="C115" s="68" t="str">
        <x:v>CTP</x:v>
      </x:c>
      <x:c r="D115" s="68" t="str">
        <x:v>Orange County, CA</x:v>
      </x:c>
      <x:c r="E115" s="68" t="str">
        <x:v>In Progress</x:v>
      </x:c>
      <x:c r="F115" s="68"/>
      <x:c r="G115" s="69"/>
      <x:c r="H115" s="85" t="str">
        <x:v>2026-08-07</x:v>
      </x:c>
      <x:c r="I115" s="85"/>
      <x:c r="J115" s="68" t="str">
        <x:v>200</x:v>
      </x:c>
      <x:c r="K115" s="70"/>
      <x:c r="L115" s="86"/>
      <x:c r="M115" s="87"/>
      <x:c r="N115" s="71"/>
      <x:c r="O115" s="88"/>
      <x:c r="P115" s="89"/>
      <x:c r="Q115" s="89"/>
      <x:c r="R115" s="89"/>
      <x:c r="S115" s="73"/>
      <x:c r="T115" s="68"/>
      <x:c r="U115" s="68" t="str">
        <x:v>https://www.linkedin.com/jobs/view/ai-engineer-at-ctp-4449226088?position=3&amp;pageNum=9&amp;refId=4HZ1xwQ%2B2NTJNDX8a%2Bj14Q%3D%3D&amp;trackingId=01MD%2FMzknMolp0WVKSOx0g%3D%3D</x:v>
      </x:c>
      <x:c r="V115" s="68" t="str">
        <x:v>01MD/MzknMolp0WVKSOx0g==</x:v>
      </x:c>
      <x:c r="W115" s="68" t="str">
        <x:v>4HZ1xwQ+2NTJNDX8a+j14Q==</x:v>
      </x:c>
      <x:c r="X115" s="68" t="str">
        <x:v>https://www.linkedin.com/company/ctpconsulting?trk=public_jobs_jserp-result_job-search-card-subtitle</x:v>
      </x:c>
      <x:c r="Y115" s="68" t="str">
        <x:v>https://media.licdn.com/dms/image/v2/D560BAQGE4Kr8d2D_vg/company-logo_100_100/company-logo_100_100/0/1696955500662/ctpconsulting_logo?e=2147483647&amp;v=beta&amp;t=0poxYZ32_gI16Peh7jecT70Je6Z3fpMI-Uzk5tjGo8o</x:v>
      </x:c>
      <x:c r="Z115" s="68"/>
      <x:c r="AA115" s="68" t="str">
        <x:v>&lt;p&gt;&lt;strong&gt;AI Engineer – Generative AI / LLMs&lt;/strong&gt;&lt;/p&gt;&lt;p&gt;&lt;br&gt;&lt;/p&gt;&lt;p&gt;&lt;strong&gt;&lt;br&gt;Location&lt;/strong&gt;: Orange County, C&lt;/p&gt;&lt;p&gt;&lt;strong&gt;ASalar&lt;/strong&gt;y- $130k + DO&lt;/p&gt;&lt;p&gt;&lt;br&gt;&lt;/p&gt;&lt;p&gt;E&lt;br&gt;We are partnering with an established consumer technology company in Orange County that is expanding its investment in AI and looking to add a&lt;strong&gt;n AI Engine&lt;/strong&gt;er to its tea&lt;/p&gt;&lt;p&gt;&lt;br&gt;&lt;/p&gt;&lt;p&gt;m.&lt;br&gt;The company has made a significant investment in i&lt;strong&gt;ts Databricks environm&lt;/strong&gt;ent and is building new AI capabilities focused on creating more intuitive, human-centered experiences. This engineer will help design and develop solutions leveragi&lt;strong&gt;ng Large Language Models (LLMs), Retrieval-Augmented Generation (RAG), and enterprise d&lt;/strong&gt;a&lt;/p&gt;&lt;p&gt;&lt;br&gt;&lt;/p&gt;&lt;p&gt;ta.&lt;br&gt;This is a hands-on opportunity for someone who enjoys building with emerging AI technologies and wants to have meaningful influence over how AI is adopted and implemented within an organizat&lt;/p&gt;&lt;p&gt;&lt;br&gt;&lt;/p&gt;&lt;p&gt;&lt;strong&gt;ion.&lt;br&gt;What You'&lt;/strong&gt;&lt;/p&gt;&lt;ul&gt;&lt;li&gt;ll DoDesign and develop AI-powered applications and experiences using LLMs and generativ&lt;/li&gt;&lt;li&gt;e AI.Build and enh&lt;strong&gt;ance RAG-based solu&lt;/strong&gt;tions that connect LLMs with internal data and knowl&lt;/li&gt;&lt;li&gt;edge.Develop AI and data solutions with&lt;strong&gt;in a Databricks enviro&lt;/strong&gt;n&lt;/li&gt;&lt;li&gt;ment.Work with structured and unstructured data to support AI applicat&lt;/li&gt;&lt;li&gt;ions.Build integrations, APIs, and pipelines connecting AI models with enterprise systems and data sou&lt;/li&gt;&lt;li&gt;rces.Work with technologies such as embeddings, vector search, and LLM orchestration framew&lt;/li&gt;&lt;li&gt;orks.Prototype and evaluate new AI use cases and help move successful concepts into produc&lt;/li&gt;&lt;li&gt;tion.Evaluate models and approaches for quality, reliability, performance, and scalabi&lt;/li&gt;&lt;li&gt;lity.Collaborate with technical and business stakeholders to translate real-world needs into practical AI solut&lt;/li&gt;&lt;li&gt;ions.Help establish development patterns and best practices as the organization's AI capabilities continue to &lt;/li&gt;&lt;/ul&gt;&lt;p&gt;&lt;br&gt;&lt;/p&gt;&lt;p&gt;&lt;strong&gt;grow.&lt;br&gt;What We're Looki&lt;/strong&gt;&lt;/p&gt;&lt;ul&gt;&lt;li&gt;ng ForExperien&lt;strong&gt;ce in AI Engineering, Machine Learning Engineering, Software Engin&lt;/strong&gt;eering, or a related &lt;/li&gt;&lt;li&gt;field.Hands-on experience building applications &lt;strong&gt;using LLMs and Generat&lt;/strong&gt;i&lt;/li&gt;&lt;li&gt;ve AI.Experience impleme&lt;strong&gt;nting Retrieval-Augmented Generation&lt;/strong&gt; (RAG) architec&lt;/li&gt;&lt;li&gt;tures.Strong programming experience&lt;strong&gt; with &lt;/strong&gt;P&lt;/li&gt;&lt;li&gt;ython.Experience&lt;strong&gt; with Data&lt;/strong&gt;bricks is highly pref&lt;/li&gt;&lt;li&gt;erred.Experience working with APIs, data pipelines, and cloud-based environ&lt;/li&gt;&lt;li&gt;ments.Familiarity&lt;strong&gt; with embeddings, vector databases/vector search, prompt engineering, and LLM application archit&lt;/strong&gt;e&lt;/li&gt;&lt;li&gt;cture.Experience taking AI applications beyond proof-of-concept and toward production is strongly pref&lt;/li&gt;&lt;li&gt;erred.Ability to work through ambiguity and help determine the best technical approach to emerging AI use &lt;/li&gt;&lt;li&gt;cases.Strong communication and collaboration s&lt;/li&gt;&lt;/ul&gt;&lt;p&gt;&lt;br&gt;&lt;/p&gt;&lt;p&gt;&lt;strong&gt;kills.&lt;br&gt;Why This Oppo&lt;/strong&gt;&lt;/p&gt;&lt;p&gt;&lt;br&gt;&lt;/p&gt;&lt;p&gt;rtunity&lt;br&gt;This is an opportunity to join an organization that has already made a meaningful investment in its data and AI infrastructure and is now focused on building on to&lt;/p&gt;&lt;p&gt;p of it.Rather than maintaining a mature AI platform, this person will have the opportunity &lt;strong&gt;to help build, experiment, and shape how AI is used across the &lt;/strong&gt;business, including the development of new human + AI expe&lt;/p&gt;&lt;p&gt;&lt;br&gt;&lt;/p&gt;riences.</x:v>
      </x:c>
      <x:c r="AB115" s="68" t="str">
        <x:v>
AI Engineer – Generative AI / LLMs
Location: Orange County, C
ASalary- $130k + DO
E
We are partnering with an established consumer technology company in Orange County that is expanding its investment in AI and looking to add an AI Engineer to its tea
m.
The company has made a significant investment in its Databricks environment and is building new AI capabilities focused on creating more intuitive, human-centered experiences. This engineer will help design and develop solutions leveraging Large Language Models (LLMs), Retrieval-Augmented Generation (RAG), and enterprise da
ta.
This is a hands-on opportunity for someone who enjoys building with emerging AI technologies and wants to have meaningful influence over how AI is adopted and implemented within an organizat
ion.
What You'
- ll DoDesign and develop AI-powered applications and experiences using LLMs and generativ
- e AI.Build and enhance RAG-based solutions that connect LLMs with internal data and knowl
- edge.Develop AI and data solutions within a Databricks environ
- ment.Work with structured and unstructured data to support AI applicat
- ions.Build integrations, APIs, and pipelines connecting AI models with enterprise systems and data sou
- rces.Work with technologies such as embeddings, vector search, and LLM orchestration framew
- orks.Prototype and evaluate new AI use cases and help move successful concepts into produc
- tion.Evaluate models and approaches for quality, reliability, performance, and scalabi
- lity.Collaborate with technical and business stakeholders to translate real-world needs into practical AI solut
- ions.Help establish development patterns and best practices as the organization's AI capabilities continue to 
grow.
What We're Looki
- ng ForExperience in AI Engineering, Machine Learning Engineering, Software Engineering, or a related 
- field.Hands-on experience building applications using LLMs and Generati
- ve AI.Experience implementing Retrieval-Augmented Generation (RAG) architec
- tures.Strong programming experience with P
- ython.Experience with Databricks is highly pref
- erred.Experience working with APIs, data pipelines, and cloud-based environ
- ments.Familiarity with embeddings, vector databases/vector search, prompt engineering, and LLM application archite
- cture.Experience taking AI applications beyond proof-of-concept and toward production is strongly pref
- erred.Ability to work through ambiguity and help determine the best technical approach to emerging AI use 
- cases.Strong communication and collaboration s
kills.
Why This Oppo
rtunity
This is an opportunity to join an organization that has already made a meaningful investment in its data and AI infrastructure and is now focused on building on to
p of it.Rather than maintaining a mature AI platform, this person will have the opportunity to help build, experiment, and shape how AI is used across the business, including the development of new human + AI expe
riences.</x:v>
      </x:c>
      <x:c r="AC115" s="68" t="str">
        <x:v>Mid-Senior level</x:v>
      </x:c>
      <x:c r="AD115" s="68" t="str">
        <x:v>Full-time</x:v>
      </x:c>
      <x:c r="AE115" s="68" t="str">
        <x:v>Engineering</x:v>
      </x:c>
      <x:c r="AF115" s="68" t="str">
        <x:v>Information Technology &amp; Services</x:v>
      </x:c>
      <x:c r="AG115" s="68" t="str">
        <x:v>https://www.linkedin.com/jobs/search/?position=1&amp;pageNum=0&amp;keywords=AI+Engineer&amp;location=United+States&amp;distance=0&amp;f_TPR=r604800</x:v>
      </x:c>
      <x:c r="AH115" s="68" t="str">
        <x:v>{'type': 'PostalAddress', 'addressLocality': 'San Francisco Bay Area', 'addressRegion': 'CA', 'postalCode': '94044', 'addressCountry': 'US'}</x:v>
      </x:c>
      <x:c r="AI115" s="68" t="str">
        <x:v>http://www.ctpconsulting.com</x:v>
      </x:c>
      <x:c r="AJ115" s="68" t="str">
        <x:v>Helping build the world’s leading technologies and teams | Follow us for industry hiring trends and best practices</x:v>
      </x:c>
      <x:c r="AK115" s="68"/>
      <x:c r="AL115" s="68"/>
      <x:c r="AM115" s="68"/>
      <x:c r="AN115" s="68"/>
      <x:c r="AO115" s="68"/>
      <x:c r="AP115" s="68"/>
    </x:row>
    <x:row r="116" s="25" customFormat="1" ht="22" customHeight="1">
      <x:c r="A116" s="68" t="str">
        <x:v>4447335359</x:v>
      </x:c>
      <x:c r="B116" s="68" t="str">
        <x:v>AI Engineer</x:v>
      </x:c>
      <x:c r="C116" s="68" t="str">
        <x:v>Walden Robotics</x:v>
      </x:c>
      <x:c r="D116" s="68" t="str">
        <x:v>San Francisco, CA</x:v>
      </x:c>
      <x:c r="E116" s="68" t="str">
        <x:v>Applied</x:v>
      </x:c>
      <x:c r="F116" s="68"/>
      <x:c r="G116" s="69"/>
      <x:c r="H116" s="85" t="str">
        <x:v>2026-08-05</x:v>
      </x:c>
      <x:c r="I116" s="85"/>
      <x:c r="J116" s="68" t="str">
        <x:v>200</x:v>
      </x:c>
      <x:c r="K116" s="70"/>
      <x:c r="L116" s="86"/>
      <x:c r="M116" s="87"/>
      <x:c r="N116" s="71"/>
      <x:c r="O116" s="88"/>
      <x:c r="P116" s="89"/>
      <x:c r="Q116" s="89"/>
      <x:c r="R116" s="89"/>
      <x:c r="S116" s="73"/>
      <x:c r="T116" s="68"/>
      <x:c r="U116" s="68" t="str">
        <x:v>https://www.linkedin.com/jobs/view/ai-engineer-at-walden-robotics-4447335359?position=10&amp;pageNum=9&amp;refId=4HZ1xwQ%2B2NTJNDX8a%2Bj14Q%3D%3D&amp;trackingId=1QWLA0i4FNncpTtxwEM8Hw%3D%3D</x:v>
      </x:c>
      <x:c r="V116" s="68" t="str">
        <x:v>1QWLA0i4FNncpTtxwEM8Hw==</x:v>
      </x:c>
      <x:c r="W116" s="68" t="str">
        <x:v>4HZ1xwQ+2NTJNDX8a+j14Q==</x:v>
      </x:c>
      <x:c r="X116" s="68" t="str">
        <x:v>https://www.linkedin.com/company/waldenrobotics?trk=public_jobs_jserp-result_job-search-card-subtitle</x:v>
      </x:c>
      <x:c r="Y116" s="68" t="str">
        <x:v>https://media.licdn.com/dms/image/v2/D560BAQE0LsDQ5L69vA/company-logo_100_100/B56Z9jn5OPIUAM-/0/1784082830414/waldenrobotics_logo?e=2147483647&amp;v=beta&amp;t=iD3_PNiQrqnosCA5JQlRsCpAZzJPSPuTt3XsMytsxeM</x:v>
      </x:c>
      <x:c r="Z116" s="68"/>
      <x:c r="AA116" s="68" t="str">
        <x:v>&lt;strong&gt;Position Summary&lt;br&gt;&lt;br&gt;&lt;/strong&gt;We're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company.&lt;br&gt;&lt;br&gt;&lt;strong&gt;Core Responsibilities&lt;br&gt;&lt;br&gt;&lt;/strong&gt;&lt;ul&gt;&lt;li&gt;CSO direct collaboration: Serve as the CSO's thought partner on agentic systems for strategic initiatives, prototype analytical frameworks fast, and execute special projects spanning GTM, partnerships, fundraising, modeling, and customer-data strategy.&lt;/li&gt;&lt;li&gt;CSO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decisions.&lt;/li&gt;&lt;li&gt;Internal agent platform (~20%): Co-develop the shared infrastructure that lets other Walden teams build and run their own agents safely and observably. Ship reusable patterns and primitives the rest of the company adopts.&lt;/li&gt;&lt;li&gt;Cross-functional integration: Bridge strategy, finance, product, engineering, and operations through direct collaboration, real-time dashboards, scenario planning, and workflow automation. Translate technical reality into commercial framing and back.&lt;br&gt;&lt;br&gt;&lt;/li&gt;&lt;/ul&gt;&lt;strong&gt;Required Qualifications&lt;br&gt;&lt;br&gt;&lt;/strong&gt;&lt;ul&gt;&lt;li&gt;CS or Engineering undergraduate degree.&lt;/li&gt;&lt;li&gt;Track record owning ambitious AI-native projects end-to-end at a frontier startup or research lab, with the ability to operate without close supervision under uncertainty.&lt;/li&gt;&lt;li&gt;Demonstrated expertise building production agentic workflows with modern AI tools (Claude Code, Codex, Cursor, OpenAI / Anthropic Agents SDK, open source tools).&lt;/li&gt;&lt;li&gt;Experience in Python, data engineering, API integrations, and workflow automation.&lt;/li&gt;&lt;li&gt;Experience with LLM evals, observability, and optimization (Langfuse, Weights &amp;amp; Biases).&lt;/li&gt;&lt;li&gt;Comfortable context-switching between technical implementation and strategic thinking, and between writing code and writing prompts.&lt;br&gt;&lt;br&gt;&lt;/li&gt;&lt;/ul&gt;&lt;strong&gt;Preferred Qualifications&lt;br&gt;&lt;br&gt;&lt;/strong&gt;&lt;ul&gt;&lt;li&gt;Domain knowledge in robotics, autonomous vehicles, enterprise AI, or similar markets.&lt;/li&gt;&lt;li&gt;Track record building 0 to 1 analytical tools that drove important business decisions.&lt;/li&gt;&lt;li&gt;Experience in venture capital, corporate development, or strategic consulting.&lt;br&gt;&lt;br&gt;&lt;/li&gt;&lt;/ul&gt;&lt;em&gt;&lt;em&gt;Walden Robotics offers a competitive total compensation program, including salary, annual cash bonus, company equity, company-subsidized insurance programs, 401(k) with company match, flexible PTO, daily lunch, and other benefits. The pay ranges noted on our posts are for salary only.&lt;br&gt;&lt;br&gt;&lt;/em&gt;&lt;/em&gt;&lt;em&gt;&lt;em&gt;Walden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&lt;/em&gt;&lt;/em&gt;&lt;em&gt;&lt;em&gt;hello@waldenrobotics.com&lt;/em&gt;&lt;/em&gt;&lt;em&gt;&lt;em&gt;.&lt;br&gt;&lt;br&gt;&lt;/em&gt;&lt;/em&gt;&lt;em&gt;&lt;em&gt;Walden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&lt;br&gt;&lt;br&gt;&lt;/em&gt;&lt;/em&gt;At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x:v>
      </x:c>
      <x:c r="AB116" s="68" t="str">
        <x:v>Position Summary
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
Core Responsibilities
- CSO direct collaboration: Serve as the CSO's thought partner on agentic systems for strategic initiatives, prototype analytical frameworks fast, and execute special projects spanning GTM, partnerships, fundraising, modeling, and customer-data strategy.
- 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
- Internal agent platform (~20%): Co-develop the shared infrastructure that lets other Walden teams build and run their own agents safely and observably. Ship reusable patterns and primitives the rest of the company adopts.
- Cross-functional integration: Bridge strategy, finance, product, engineering, and operations through direct collaboration, real-time dashboards, scenario planning, and workflow automation. Translate technical reality into commercial framing and back.
Required Qualifications
- CS or Engineering undergraduate degree.
- Track record owning ambitious AI-native projects end-to-end at a frontier startup or research lab, with the ability to operate without close supervision under uncertainty.
- Demonstrated expertise building production agentic workflows with modern AI tools (Claude Code, Codex, Cursor, OpenAI / Anthropic Agents SDK, open source tools).
- Experience in Python, data engineering, API integrations, and workflow automation.
- Experience with LLM evals, observability, and optimization (Langfuse, Weights &amp;amp; Biases).
- Comfortable context-switching between technical implementation and strategic thinking, and between writing code and writing prompts.
Preferred Qualifications
- Domain knowledge in robotics, autonomous vehicles, enterprise AI, or similar markets.
- Track record building 0 to 1 analytical tools that drove important business decisions.
- Experience in venture capital, corporate development, or strategic consulting.
Walden Robotics offers a competitive total compensation program, including salary, annual cash bonus, company equity, company-subsidized insurance programs, 401(k) with company match, flexible PTO, daily lunch, and other benefits. The pay ranges noted on our posts are for salary only.
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hello@waldenrobotics.com.
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x:v>
      </x:c>
      <x:c r="AC116" s="68" t="str">
        <x:v>Not Applicable</x:v>
      </x:c>
      <x:c r="AD116" s="68" t="str">
        <x:v>Full-time</x:v>
      </x:c>
      <x:c r="AE116" s="68" t="str">
        <x:v>Engineering and Information Technology</x:v>
      </x:c>
      <x:c r="AF116" s="68" t="str">
        <x:v>Robotics Engineering</x:v>
      </x:c>
      <x:c r="AG116" s="68" t="str">
        <x:v>https://www.linkedin.com/jobs/search/?position=1&amp;pageNum=0&amp;keywords=AI+Engineer&amp;location=United+States&amp;distance=0&amp;f_TPR=r604800</x:v>
      </x:c>
      <x:c r="AH116" s="68" t="str">
        <x:v>{'type': 'PostalAddress', 'addressLocality': 'Cambridge', 'addressRegion': 'MA', 'addressCountry': 'US'}</x:v>
      </x:c>
      <x:c r="AI116" s="68" t="str">
        <x:v>waldenrobotics.com</x:v>
      </x:c>
      <x:c r="AJ116" s="68" t="str">
        <x:v>Robots ready to work. With you. Today.</x:v>
      </x:c>
      <x:c r="AK116" s="68"/>
      <x:c r="AL116" s="68"/>
      <x:c r="AM116" s="68"/>
      <x:c r="AN116" s="68"/>
      <x:c r="AO116" s="68"/>
      <x:c r="AP116" s="68"/>
    </x:row>
    <x:row r="117" s="25" customFormat="1" ht="22" customHeight="1">
      <x:c r="A117" s="68" t="str">
        <x:v>4450080679</x:v>
      </x:c>
      <x:c r="B117" s="68" t="str">
        <x:v>Applied AI Engineer</x:v>
      </x:c>
      <x:c r="C117" s="68" t="str">
        <x:v>Mission US</x:v>
      </x:c>
      <x:c r="D117" s="68" t="str">
        <x:v>Alpharetta, GA</x:v>
      </x:c>
      <x:c r="E117" s="68" t="str">
        <x:v>Applied</x:v>
      </x:c>
      <x:c r="F117" s="68"/>
      <x:c r="G117" s="69"/>
      <x:c r="H117" s="85" t="str">
        <x:v>2026-08-07</x:v>
      </x:c>
      <x:c r="I117" s="85"/>
      <x:c r="J117" s="68" t="str">
        <x:v>200</x:v>
      </x:c>
      <x:c r="K117" s="70"/>
      <x:c r="L117" s="86"/>
      <x:c r="M117" s="87"/>
      <x:c r="N117" s="71"/>
      <x:c r="O117" s="88"/>
      <x:c r="P117" s="89"/>
      <x:c r="Q117" s="89"/>
      <x:c r="R117" s="89"/>
      <x:c r="S117" s="73"/>
      <x:c r="T117" s="68"/>
      <x:c r="U117" s="68" t="str">
        <x:v>https://www.linkedin.com/jobs/view/applied-ai-engineer-at-mission-us-4450080679?position=1&amp;pageNum=9&amp;refId=4HZ1xwQ%2B2NTJNDX8a%2Bj14Q%3D%3D&amp;trackingId=uCMYiXga33%2BvIxScB8CoCg%3D%3D</x:v>
      </x:c>
      <x:c r="V117" s="68" t="str">
        <x:v>uCMYiXga33+vIxScB8CoCg==</x:v>
      </x:c>
      <x:c r="W117" s="68" t="str">
        <x:v>4HZ1xwQ+2NTJNDX8a+j14Q==</x:v>
      </x:c>
      <x:c r="X117" s="68" t="str">
        <x:v>https://www.linkedin.com/company/mission-underwriting-managers-llc?trk=public_jobs_jserp-result_job-search-card-subtitle</x:v>
      </x:c>
      <x:c r="Y117" s="68" t="str">
        <x:v>https://media.licdn.com/dms/image/v2/D560BAQFb-3h_bqs9zw/company-logo_100_100/B56ZbU8QicHUAU-/0/1747329290133/mission_underwriting_managers_llc_logo?e=2147483647&amp;v=beta&amp;t=Bp5Bj6a8mzS4J1qT-4H1cAym1js0e2VJgDGn92Ymmzs</x:v>
      </x:c>
      <x:c r="Z117" s="68"/>
      <x:c r="AA117" s="68" t="str">
        <x:v>&lt;strong&gt;About Mission Underwriting Services&lt;br&gt;&lt;br&gt;&lt;/strong&gt;At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systems.&lt;br&gt;&lt;br&gt;&lt;strong&gt;What We Offer&lt;br&gt;&lt;br&gt;&lt;/strong&gt;&lt;ul&gt;&lt;li&gt;Remote First Work Environment (US Based)&lt;/li&gt;&lt;li&gt;Medical, Dental, Vision&lt;/li&gt;&lt;li&gt;401K, 401K Match&lt;/li&gt;&lt;li&gt;Life and Disability Benefits&lt;/li&gt;&lt;li&gt;Unaccrued Paid Time Off&lt;/li&gt;&lt;li&gt;11 Paid Holidays&lt;/li&gt;&lt;li&gt;Employee Discounts&lt;/li&gt;&lt;li&gt;Employee Assistance Program&lt;/li&gt;&lt;li&gt;Educational Assistance Program&lt;/li&gt;&lt;li&gt;Employee Referral Program&lt;/li&gt;&lt;li&gt;Paid Parental Leave&lt;br&gt;&lt;br&gt;&lt;/li&gt;&lt;/ul&gt;&lt;strong&gt;About The Role&lt;br&gt;&lt;br&gt;&lt;/strong&gt;&lt;strong&gt;&lt;strong&gt;Applied &lt;/strong&gt;&lt;/strong&gt;&lt;strong&gt;&lt;strong&gt;AI Engineer&lt;/strong&gt;&lt;/strong&gt;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scale.&lt;br&gt;&lt;br&gt;&lt;strong&gt;Essential Duties/Functions&lt;br&gt;&lt;br&gt;&lt;/strong&gt;&lt;ul&gt;&lt;li&gt;Design, develop, and deploy production-grade AI solutions using large language models (LLMs), AI agents, latest memory and context management patterns, and machine learning techniques.&lt;/li&gt;&lt;li&gt;Build intelligent workflows and AI-powered applications that automate business processes across underwriting, operations, finance, and other enterprise functions.&lt;/li&gt;&lt;li&gt; Develop and maintain scalable AI services using modern cloud-native architectures.&lt;/li&gt;&lt;li&gt; Integrate AI capabilities with enterprise platforms including policy administration, submission management, data platforms, document management, and external data providers.&lt;/li&gt;&lt;li&gt;Design and implement prompt engineering, orchestration frameworks, vector databases, and knowledge retrieval solutions to improve AI performance and reliability.&lt;/li&gt;&lt;li&gt;Evaluate, fine-tune, and optimize foundation models and AI workflows for accuracy, latency, scalability, and cost efficiency.&lt;/li&gt;&lt;li&gt;Develop evaluation frameworks, automated testing, and monitoring capabilities to measure AI quality, hallucination rates, response accuracy, and overall system performance.&lt;/li&gt;&lt;li&gt;Implement AI guardrails, security controls, governance standards, and responsible AI practices to ensure compliant and trustworthy AI solutions.&lt;/li&gt;&lt;li&gt;Collaborate with product owners, business stakeholders, business analysts, and engineers to translate business requirements into scalable AI solutions.&lt;/li&gt;&lt;li&gt;Build solutions including AI models from providers such as Anthropic and OpenAI to solve intelligence problems, automate and streamline processes for the business.&lt;/li&gt;&lt;li&gt;Leverage development augmentation tools such as GitHub Copilot, Claude Code, Codex, and others to learn, plan, design, and build effectively.&lt;/li&gt;&lt;li&gt; Build reusable AI components, SDKs, and engineering frameworks that enable rapid delivery of enterprise capabilities.&lt;/li&gt;&lt;li&gt; Use databases such as MongoDB and Databricks to store and process data.&lt;/li&gt;&lt;li&gt;Optimize AI infrastructure, inference pipelines, and orchestration workflows for high availability, resilience, and operational efficiency.&lt;/li&gt;&lt;li&gt;Stay current with emerging AI technologies, frameworks, and best practices, recommending new capabilities that can enhance Mission's AI strategy.&lt;/li&gt;&lt;li&gt;Support production AI systems by monitoring performance, troubleshooting issues, and continuously improving solution quality and business outcomes.&lt;br&gt;&lt;br&gt;&lt;/li&gt;&lt;/ul&gt;&lt;strong&gt;Required Qualifications&lt;br&gt;&lt;br&gt;&lt;/strong&gt;&lt;ul&gt;&lt;li&gt; 3+ years of experience in software engineering, AI engineering, machine learning, or a related technical field, with at least 2 years designing and delivering production AI solutions.&lt;/li&gt;&lt;li&gt; Hands-on experience building enterprise applications using Large Language Models (LLMs), AI memory and context management, AI agents, prompt engineering, and orchestration frameworks.&lt;/li&gt;&lt;li&gt;Experience with deploying applied AI features and related cloud-native technologies.&lt;/li&gt;&lt;li&gt;Strong programming skills in Python or JavaScript, with experience developing RESTful APIs, microservices, and scalable distributed applications.&lt;/li&gt;&lt;li&gt;Experience integrating AI solutions with enterprise systems using REST APIs, event-driven architectures, vector databases, and knowledge repositories.&lt;/li&gt;&lt;li&gt;Familiarity with modern AI or orchestration frameworks.&lt;/li&gt;&lt;li&gt;Experience implementing AI evaluation, monitoring, observability, and testing frameworks to measure model quality, reliability, latency, and cost.&lt;/li&gt;&lt;li&gt;Understanding of Responsible AI principles, security, governance, prompt safety, model access controls, and enterprise AI compliance.&lt;/li&gt;&lt;li&gt;Experience with Git, GitLab/GitHub, CI/CD pipelines, Infrastructure as Code, and DevOps/MLOps practices for deploying AI applications.&lt;/li&gt;&lt;li&gt;Experience working with Databricks, SQL Server, or other enterprise data platforms.&lt;/li&gt;&lt;li&gt;Experience with modern cloud environments such as AWS, Azure, or Google Cloud Platform&lt;/li&gt;&lt;li&gt;Bachelor's degree in Computer Science, Software Engineering, or equivalent practical experience.&lt;/li&gt;&lt;li&gt;Demonstrated ability to translate complex business problems into scalable, secure, and production-ready AI solutions while collaborating effectively with cross-functional teams.&lt;br&gt;&lt;br&gt;&lt;/li&gt;&lt;/ul&gt;&lt;strong&gt;Preferred Qualifications&lt;br&gt;&lt;br&gt;&lt;/strong&gt;&lt;ul&gt;&lt;li&gt;Experience developing AI solutions for the property &amp;amp; casualty insurance industry, including underwriting, submissions, or policy administration.&lt;/li&gt;&lt;li&gt;Experience with Model Context Protocol (MCP), enterprise AI agents, multi-agent systems, vector databases, and modern AI engineering platforms&lt;/li&gt;&lt;li&gt;Strong communication skills and ability to work cross-functionally with different departments&lt;/li&gt;&lt;li&gt;Ability to travel up to 10% of the year.&lt;br&gt;&lt;br&gt;&lt;/li&gt;&lt;/ul&gt;&lt;strong&gt;Working Conditions&lt;br&gt;&lt;br&gt;&lt;/strong&gt;&lt;ul&gt;&lt;li&gt;Requires a quiet work environment with regular sitting at a computer for extended periods of time.&lt;/li&gt;&lt;li&gt;Regular use of hands and fingers.&lt;/li&gt;&lt;li&gt;Frequent talking or hearing.&lt;/li&gt;&lt;li&gt;Vision requirements: Close, distance, color, peripheral, focus and depth perception.&lt;br&gt;&lt;br&gt;&lt;/li&gt;&lt;/ul&gt;&lt;strong&gt;Additional Information&lt;br&gt;&lt;br&gt;&lt;/strong&gt;&lt;strong&gt;&lt;strong&gt;This is a remote position. Planned, in-office activities may be required on occasion (typically 2-4x per year).&lt;br&gt;&lt;br&gt;&lt;/strong&gt;&lt;/strong&gt;&lt;strong&gt;&lt;strong&gt;You must live in the United States and be authorized to work in the United States without requirement of employment&lt;/strong&gt;&lt;/strong&gt; &lt;strong&gt;&lt;strong&gt;sponsorship/visa.&lt;/strong&gt;&lt;/strong&gt;</x:v>
      </x:c>
      <x:c r="AB117" s="68" t="str">
        <x:v>About Mission Underwriting Services
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
What We Offer
- Remote First Work Environment (US Based)
- Medical, Dental, Vision
- 401K, 401K Match
- Life and Disability Benefits
- Unaccrued Paid Time Off
- 11 Paid Holidays
- Employee Discounts
- Employee Assistance Program
- Educational Assistance Program
- Employee Referral Program
- Paid Parental Leave
About The Role
Applied AI Engineer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
Essential Duties/Functions
- Design, develop, and deploy production-grade AI solutions using large language models (LLMs), AI agents, latest memory and context management patterns, and machine learning techniques.
- Build intelligent workflows and AI-powered applications that automate business processes across underwriting, operations, finance, and other enterprise functions.
-  Develop and maintain scalable AI services using modern cloud-native architectures.
-  Integrate AI capabilities with enterprise platforms including policy administration, submission management, data platforms, document management, and external data providers.
- Design and implement prompt engineering, orchestration frameworks, vector databases, and knowledge retrieval solutions to improve AI performance and reliability.
- Evaluate, fine-tune, and optimize foundation models and AI workflows for accuracy, latency, scalability, and cost efficiency.
- Develop evaluation frameworks, automated testing, and monitoring capabilities to measure AI quality, hallucination rates, response accuracy, and overall system performance.
- Implement AI guardrails, security controls, governance standards, and responsible AI practices to ensure compliant and trustworthy AI solutions.
- Collaborate with product owners, business stakeholders, business analysts, and engineers to translate business requirements into scalable AI solutions.
- Build solutions including AI models from providers such as Anthropic and OpenAI to solve intelligence problems, automate and streamline processes for the business.
- Leverage development augmentation tools such as GitHub Copilot, Claude Code, Codex, and others to learn, plan, design, and build effectively.
-  Build reusable AI components, SDKs, and engineering frameworks that enable rapid delivery of enterprise capabilities.
-  Use databases such as MongoDB and Databricks to store and process data.
- Optimize AI infrastructure, inference pipelines, and orchestration workflows for high availability, resilience, and operational efficiency.
- Stay current with emerging AI technologies, frameworks, and best practices, recommending new capabilities that can enhance Mission's AI strategy.
- Support production AI systems by monitoring performance, troubleshooting issues, and continuously improving solution quality and business outcomes.
Required Qualifications
-  3+ years of experience in software engineering, AI engineering, machine learning, or a related technical field, with at least 2 years designing and delivering production AI solutions.
-  Hands-on experience building enterprise applications using Large Language Models (LLMs), AI memory and context management, AI agents, prompt engineering, and orchestration frameworks.
- Experience with deploying applied AI features and related cloud-native technologies.
- Strong programming skills in Python or JavaScript, with experience developing RESTful APIs, microservices, and scalable distributed applications.
- Experience integrating AI solutions with enterprise systems using REST APIs, event-driven architectures, vector databases, and knowledge repositories.
- Familiarity with modern AI or orchestration frameworks.
- Experience implementing AI evaluation, monitoring, observability, and testing frameworks to measure model quality, reliability, latency, and cost.
- Understanding of Responsible AI principles, security, governance, prompt safety, model access controls, and enterprise AI compliance.
- Experience with Git, GitLab/GitHub, CI/CD pipelines, Infrastructure as Code, and DevOps/MLOps practices for deploying AI applications.
- Experience working with Databricks, SQL Server, or other enterprise data platforms.
- Experience with modern cloud environments such as AWS, Azure, or Google Cloud Platform
- Bachelor's degree in Computer Science, Software Engineering, or equivalent practical experience.
- Demonstrated ability to translate complex business problems into scalable, secure, and production-ready AI solutions while collaborating effectively with cross-functional teams.
Preferred Qualifications
- Experience developing AI solutions for the property &amp;amp; casualty insurance industry, including underwriting, submissions, or policy administration.
- Experience with Model Context Protocol (MCP), enterprise AI agents, multi-agent systems, vector databases, and modern AI engineering platforms
- Strong communication skills and ability to work cross-functionally with different departments
- Ability to travel up to 10% of the year.
Working Conditions
- Requires a quiet work environment with regular sitting at a computer for extended periods of time.
- Regular use of hands and fingers.
- Frequent talking or hearing.
- Vision requirements: Close, distance, color, peripheral, focus and depth perception.
Additional Information
This is a remote position. Planned, in-office activities may be required on occasion (typically 2-4x per year).
You must live in the United States and be authorized to work in the United States without requirement of employment sponsorship/visa.</x:v>
      </x:c>
      <x:c r="AC117" s="68" t="str">
        <x:v>Not Applicable</x:v>
      </x:c>
      <x:c r="AD117" s="68" t="str">
        <x:v>Full-time</x:v>
      </x:c>
      <x:c r="AE117" s="68" t="str">
        <x:v>Engineering and Information Technology</x:v>
      </x:c>
      <x:c r="AF117" s="68" t="str">
        <x:v>Insurance</x:v>
      </x:c>
      <x:c r="AG117" s="68" t="str">
        <x:v>https://www.linkedin.com/jobs/search/?position=1&amp;pageNum=0&amp;keywords=AI+Engineer&amp;location=United+States&amp;distance=0&amp;f_TPR=r604800</x:v>
      </x:c>
      <x:c r="AH117" s="68" t="str">
        <x:v>{'type': 'PostalAddress', 'streetAddress': '100 N Point Center E', 'addressLocality': 'Alpharetta', 'addressRegion': 'Georgia', 'postalCode': '30022', 'addressCountry': 'US'}</x:v>
      </x:c>
      <x:c r="AI117" s="68" t="str">
        <x:v>https://missionunderwriters.com</x:v>
      </x:c>
      <x:c r="AJ117" s="68"/>
      <x:c r="AK117" s="68"/>
      <x:c r="AL117" s="68"/>
      <x:c r="AM117" s="68"/>
      <x:c r="AN117" s="68"/>
      <x:c r="AO117" s="68"/>
      <x:c r="AP117" s="68"/>
    </x:row>
    <x:row r="118" s="25" customFormat="1" ht="22" customHeight="1">
      <x:c r="A118" s="68" t="str">
        <x:v>4339144508</x:v>
      </x:c>
      <x:c r="B118" s="68" t="str">
        <x:v>Backend/AI Engineer</x:v>
      </x:c>
      <x:c r="C118" s="68" t="str">
        <x:v>Reducto</x:v>
      </x:c>
      <x:c r="D118" s="68" t="str">
        <x:v>San Francisco, CA</x:v>
      </x:c>
      <x:c r="E118" s="68" t="str">
        <x:v>Failed</x:v>
      </x:c>
      <x:c r="F118" s="68"/>
      <x:c r="G118" s="69"/>
      <x:c r="H118" s="85" t="str">
        <x:v>2026-08-05</x:v>
      </x:c>
      <x:c r="I118" s="85"/>
      <x:c r="J118" s="68" t="str">
        <x:v>200</x:v>
      </x:c>
      <x:c r="K118" s="70"/>
      <x:c r="L118" s="86"/>
      <x:c r="M118" s="87"/>
      <x:c r="N118" s="71"/>
      <x:c r="O118" s="88"/>
      <x:c r="P118" s="89"/>
      <x:c r="Q118" s="89"/>
      <x:c r="R118" s="89"/>
      <x:c r="S118" s="73"/>
      <x:c r="T118" s="68"/>
      <x:c r="U118" s="68" t="str">
        <x:v>https://www.linkedin.com/jobs/view/backend-ai-engineer-at-reducto-4339144508?position=2&amp;pageNum=9&amp;refId=4HZ1xwQ%2B2NTJNDX8a%2Bj14Q%3D%3D&amp;trackingId=7Mshc1wiRxcO97VhlYhfAw%3D%3D</x:v>
      </x:c>
      <x:c r="V118" s="68" t="str">
        <x:v>7Mshc1wiRxcO97VhlYhfAw==</x:v>
      </x:c>
      <x:c r="W118" s="68" t="str">
        <x:v>4HZ1xwQ+2NTJNDX8a+j14Q==</x:v>
      </x:c>
      <x:c r="X118" s="68" t="str">
        <x:v>https://www.linkedin.com/company/reducto-ai?trk=public_jobs_jserp-result_job-search-card-subtitle</x:v>
      </x:c>
      <x:c r="Y118" s="68" t="str">
        <x:v>https://media.licdn.com/dms/image/v2/D560BAQFZoOWJowCHYA/company-logo_100_100/B56ZxDfMe1GYAQ-/0/1770658777356/reducto_ai_logo?e=2147483647&amp;v=beta&amp;t=0-pyaP6FXofBK_HhQvwo71bSQj54SFxXUpPU0Cqqrc8</x:v>
      </x:c>
      <x:c r="Z118" s="68"/>
      <x:c r="AA118" s="68" t="str">
        <x:v>&lt;strong&gt;About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Capital.&lt;br&gt;&lt;br&gt;The Opportunity&lt;br&gt;&lt;br&gt;As a Backend/AI Engineer, you'll work on our core API that powers document parsing for hundreds of companies. You'll integrate cutting-edge LLMs, optimize document processing pipelines, and build the infrastructure that makes state-of-the-art document understanding accessible at scale.&lt;br&gt;&lt;br&gt;&lt;strong&gt;We Would Love To Meet You If You:&lt;br&gt;&lt;br&gt;&lt;/strong&gt;&lt;ul&gt;&lt;li&gt;Philosophy: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building real world applications and integrating LLMs into production systems&lt;/li&gt;&lt;li&gt;Language: You're exceptional at Python&lt;/li&gt;&lt;li&gt;Tools: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Include:&lt;br&gt;&lt;br&gt;&lt;/strong&gt;&lt;ul&gt;&lt;li&gt;Integrating and optimizing LLM calls for structured extraction, form filling, and document understanding tasks&lt;/li&gt;&lt;li&gt;Making improvements to API design and pre-processing algorithms (chunking, structured extraction, etc.) based on customer feedback&lt;/li&gt;&lt;li&gt;Building and improving document processing pipelines that handle everything from PDFs to spreadsheets at scale&lt;/li&gt;&lt;li&gt;Experimenting with new techniques and output structures to improve LLM accuracy and reduce latency&lt;/li&gt;&lt;li&gt;Building internal tooling and evals to better understand/analyze failure cases&lt;/li&gt;&lt;li&gt;Working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stages&lt;/li&gt;&lt;li&gt;Have experience with prompt engineering, fine-tuning, or building AI agents&lt;/li&gt;&lt;li&gt;Are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with.&lt;br&gt;&lt;br&gt;Reducto Breaks Document Layouts Into Subsections And Then Contextually Parses Each Depending On The Type Of Content.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v>
      </x:c>
      <x:c r="AB118" s="68" t="str">
        <x:v>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The Opportunity
As a Backend/AI Engineer, you'll work on our core API that powers document parsing for hundreds of companies. You'll integrate cutting-edge LLMs, optimize document processing pipelines, and build the infrastructure that makes state-of-the-art document understanding accessible at scale.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building real world applications and integrating LLMs into production systems
- Language: You're exceptional at Python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Integrating and optimizing LLM calls for structured extraction, form filling, and document understanding tasks
- Making improvements to API design and pre-processing algorithms (chunking, structured extraction, etc.) based on customer feedback
- Building and improving document processing pipelines that handle everything from PDFs to spreadsheets at scale
- Experimenting with new techniques and output structures to improve LLM accuracy and reduce latency
- Building internal tooling and evals to better understand/analyze failure cases
- Working directly with the founders and customers to shape the product direction and engineering strategy
Bonus Points If You:
- Have prior experience founding a company or building products at early stages
- Have experience with prompt engineering, fine-tuning, or building AI agents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v>
      </x:c>
      <x:c r="AC118" s="68" t="str">
        <x:v>Not Applicable</x:v>
      </x:c>
      <x:c r="AD118" s="68" t="str">
        <x:v>Full-time</x:v>
      </x:c>
      <x:c r="AE118" s="68" t="str">
        <x:v>Engineering and Information Technology</x:v>
      </x:c>
      <x:c r="AF118" s="68" t="str">
        <x:v>Software Development</x:v>
      </x:c>
      <x:c r="AG118" s="68" t="str">
        <x:v>https://www.linkedin.com/jobs/search/?position=1&amp;pageNum=0&amp;keywords=AI+Engineer&amp;location=United+States&amp;distance=0&amp;f_TPR=r604800</x:v>
      </x:c>
      <x:c r="AH118" s="68" t="str">
        <x:v>{'type': 'PostalAddress', 'addressLocality': 'San Francisco', 'addressRegion': 'CA', 'addressCountry': 'US'}</x:v>
      </x:c>
      <x:c r="AI118" s="68" t="str">
        <x:v>http://reducto.ai/?utm_source=linkedin&amp;utm_medium=company</x:v>
      </x:c>
      <x:c r="AJ118" s="68" t="str">
        <x:v>The complete agentic document platform for leading AI teams needing performance at enterprise scale.</x:v>
      </x:c>
      <x:c r="AK118" s="68"/>
      <x:c r="AL118" s="68"/>
      <x:c r="AM118" s="68"/>
      <x:c r="AN118" s="68"/>
      <x:c r="AO118" s="68"/>
      <x:c r="AP118" s="68"/>
    </x:row>
    <x:row r="119" s="25" customFormat="1" ht="22" customHeight="1">
      <x:c r="A119" s="68" t="str">
        <x:v>4450001432</x:v>
      </x:c>
      <x:c r="B119" s="68" t="str">
        <x:v>Research Engineer</x:v>
      </x:c>
      <x:c r="C119" s="68" t="str">
        <x:v>Thomson Reuters</x:v>
      </x:c>
      <x:c r="D119" s="68" t="str">
        <x:v>Ann Arbor, MI</x:v>
      </x:c>
      <x:c r="E119" s="68" t="str">
        <x:v>Applied</x:v>
      </x:c>
      <x:c r="F119" s="68"/>
      <x:c r="G119" s="69"/>
      <x:c r="H119" s="85" t="str">
        <x:v>2026-08-06</x:v>
      </x:c>
      <x:c r="I119" s="85"/>
      <x:c r="J119" s="68" t="str">
        <x:v>41</x:v>
      </x:c>
      <x:c r="K119" s="70"/>
      <x:c r="L119" s="86"/>
      <x:c r="M119" s="87"/>
      <x:c r="N119" s="71"/>
      <x:c r="O119" s="88"/>
      <x:c r="P119" s="89"/>
      <x:c r="Q119" s="89"/>
      <x:c r="R119" s="89"/>
      <x:c r="S119" s="73"/>
      <x:c r="T119" s="68"/>
      <x:c r="U119" s="68" t="str">
        <x:v>https://www.linkedin.com/jobs/view/research-engineer-at-thomson-reuters-4450001432?position=9&amp;pageNum=9&amp;refId=4HZ1xwQ%2B2NTJNDX8a%2Bj14Q%3D%3D&amp;trackingId=7Rpn%2FM44BYpxPKFrzL4BOQ%3D%3D</x:v>
      </x:c>
      <x:c r="V119" s="68" t="str">
        <x:v>7Rpn/M44BYpxPKFrzL4BOQ==</x:v>
      </x:c>
      <x:c r="W119" s="68" t="str">
        <x:v>4HZ1xwQ+2NTJNDX8a+j14Q==</x:v>
      </x:c>
      <x:c r="X119" s="68" t="str">
        <x:v>https://ca.linkedin.com/company/thomson-reuters?trk=public_jobs_jserp-result_job-search-card-subtitle</x:v>
      </x:c>
      <x:c r="Y119" s="68" t="str">
        <x:v>https://media.licdn.com/dms/image/v2/D560BAQHtf0NHyUa92g/company-logo_100_100/company-logo_100_100/0/1719933220460/thomson_reuters_logo?e=2147483647&amp;v=beta&amp;t=ML9NnTk2lfPONL3Ft_HeSGyq0tQPb7SrfP_LSYjC6c0</x:v>
      </x:c>
      <x:c r="Z119" s="68"/>
      <x:c r="AA119" s="68" t="str">
        <x:v>Do you love creating innovative solutions for customers? Then come and apply your skills and passion for technology at Thomson Reuters Labs.&lt;br&gt;&lt;br&gt;We are seeking a &lt;strong&gt;Research Engineer&lt;/strong&gt;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customers.&lt;br&gt;&lt;br&gt;What does Thomson Reuters Labs do?&lt;br&gt;&lt;br&gt;We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News.&lt;br&gt;&lt;br&gt;As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spaces.&lt;br&gt;&lt;br&gt;Is this you? Come join us!  &lt;br&gt;&lt;br&gt;&lt;strong&gt;About The Role &lt;br&gt;&lt;br&gt;&lt;/strong&gt;In this opportunity as a &lt;strong&gt;Research Engineer&lt;/strong&gt;, you will:   &lt;br&gt;&lt;br&gt;&lt;ul&gt;&lt;li&gt;Develop and Deliver: Applying modern software development practices, you will be involved in the entire software development lifecycle, designing, building, testing and delivering high-quality solutions. &lt;/li&gt;&lt;li&gt;Build Scalable ML Solutions: You will create large scale data processing pipelines to help researchers build and train novel machine learning algorithms.  You will develop high performing scalable systems in the context of large online delivery environments. &lt;/li&gt;&lt;li&gt;Be a Team Player: Working in a collaborative team-oriented environment, you will share information, value diverse ideas, and partner with cross-functional and remote teams. &lt;/li&gt;&lt;li&gt;Be an Agile Person: With a strong sense of urgency and a desire to work in a fast-paced, dynamic environment, you will deliver timely solutions. &lt;/li&gt;&lt;li&gt;Be Innovative: You are empowered to try new approaches and learn new technologies. You will contribute innovative ideas, create solutions, and be accountable for end-to-end deliveries.   &lt;/li&gt;&lt;li&gt;Be an Effective Communicator: Through dynamic engagement and communication with cross-functional partners and team members, you will effectively articulate ideas and collaborate on technical developments.   &lt;br&gt;&lt;br&gt;&lt;/li&gt;&lt;/ul&gt;&lt;strong&gt;About You  &lt;br&gt;&lt;br&gt;&lt;/strong&gt;&lt;ul&gt;&lt;li&gt;A Bachelor of Science degree, computer science or related field  &lt;/li&gt;&lt;li&gt;At least 2 years software engineering experience, ideally in the context of machine learning and natural language processing &lt;/li&gt;&lt;li&gt;Experience and understanding of Python software development stacks and ecosystems, ideally also experience with other programming languages and ecosystems. &lt;/li&gt;&lt;li&gt;Ability to understand, apply, integrate and deploy Machine Learning capabilities and techniques into other systems. &lt;/li&gt;&lt;li&gt;Familiarity with the Python data science stack through exposure to libraries such as Numpy, Scipy, Pandas, Dask, spaCy, NLTK, scikit-learn &lt;/li&gt;&lt;li&gt;Take pride in writing clean, reusable, maintainable and well-tested code &lt;/li&gt;&lt;li&gt;A desire to learn and embrace new and emerging technology &lt;/li&gt;&lt;li&gt;Familiarity with probabilistic models and understand the mathematical concepts underlying machine learning methods &lt;/li&gt;&lt;li&gt;Proficiency in automation, system monitoring, and cloud-native applications, with familiarity in AWS or Azure (or a related cloud platform) &lt;/li&gt;&lt;li&gt;Previous exposure to Natural Language Processing (NLP) problems and have familiarity with key tasks such as Named Entity Recognition (NER), Information Extraction, Information Retrieval, etc. &lt;/li&gt;&lt;li&gt;Ability to understand and translate between language and methodologies used both in research and engineering fields &lt;/li&gt;&lt;li&gt;Ability to take and integrate Machine Learning solutions to production-grade software&lt;br&gt;&lt;br&gt;&lt;/li&gt;&lt;/ul&gt;This posting is for proactive recruitment purposes and may be used to fill current openings or future vacancies within our organization.&lt;br&gt;&lt;br&gt;&lt;strong&gt;What’s in it For You?&lt;br&gt;&lt;br&gt;&lt;/strong&gt;&lt;ul&gt;&lt;li&gt;Hybrid Work Model: We’ve adopted a flexible hybrid working environment for our office-based roles while delivering a seamless experience that is digitally and physically connected.&lt;/li&gt;&lt;li&gt;Flexibility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balance.&lt;/li&gt;&lt;li&gt;Career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future.&lt;/li&gt;&lt;li&gt;Industry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wellbeing.&lt;/li&gt;&lt;li&gt;Culture: Globally recognized, award-winning reputation for inclusion and belonging, flexibility, work-life balance, and more. We live by our values: Obsess over our Customers, Compete to Win, Challenge (Y)our Thinking, Act Fast / Learn Fast, and Stronger Together.&lt;/li&gt;&lt;li&gt;Social Impact: Make an impact in your community with our Social Impact Institute. We offer employees two paid volunteer days off annually and opportunities to get involved with pro-bono consulting projects and Environmental, Social, and Governance (ESG) initiatives. &lt;/li&gt;&lt;li&gt;Making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world.&lt;br&gt;&lt;br&gt;&lt;/li&gt;&lt;/ul&gt;Our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role.&lt;br&gt;&lt;br&gt;In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Plan.&lt;br&gt;&lt;br&gt;Thomson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performance.&lt;br&gt;&lt;br&gt;&lt;strong&gt;About Us&lt;br&gt;&lt;br&gt;&lt;/strong&gt;Thomson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news.&lt;br&gt;&lt;br&gt;We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forward.&lt;br&gt;&lt;br&gt;As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workplace.&lt;br&gt;&lt;br&gt;Thomson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here.&lt;br&gt;&lt;br&gt;Learn more on how to protect yourself from fraudulent job postings here.&lt;br&gt;&lt;br&gt;More information about Thomson Reuters can be found on thomsonreuters.com&lt;br&gt;&lt;br&gt;</x:v>
      </x:c>
      <x:c r="AB119" s="68" t="str">
        <x:v>Do you love creating innovative solutions for customers? Then come and apply your skills and passion for technology at Thomson Reuters Labs.
We are seeking a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
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
Is this you? Come join us!  
About The Role 
In this opportunity as a Research Engineer, you will:   
- Develop and Deliver: Applying modern software development practices, you will be involved in the entire software development lifecycle, designing, building, testing and delivering high-quality solutions. 
- Build Scalable ML Solutions: You will create large scale data processing pipelines to help researchers build and train novel machine learning algorithms.  You will develop high performing scalable systems in the context of large online delivery environments. 
- Be a Team Player: Working in a collaborative team-oriented environment, you will share information, value diverse ideas, and partner with cross-functional and remote teams. 
- Be an Agile Person: With a strong sense of urgency and a desire to work in a fast-paced, dynamic environment, you will deliver timely solutions. 
- Be Innovative: You are empowered to try new approaches and learn new technologies. You will contribute innovative ideas, create solutions, and be accountable for end-to-end deliveries.   
- Be an Effective Communicator: Through dynamic engagement and communication with cross-functional partners and team members, you will effectively articulate ideas and collaborate on technical developments.   
About You  
- A Bachelor of Science degree, computer science or related field  
- At least 2 years software engineering experience, ideally in the context of machine learning and natural language processing 
- Experience and understanding of Python software development stacks and ecosystems, ideally also experience with other programming languages and ecosystems. 
- Ability to understand, apply, integrate and deploy Machine Learning capabilities and techniques into other systems. 
- Familiarity with the Python data science stack through exposure to libraries such as Numpy, Scipy, Pandas, Dask, spaCy, NLTK, scikit-learn 
- Take pride in writing clean, reusable, maintainable and well-tested code 
- A desire to learn and embrace new and emerging technology 
- Familiarity with probabilistic models and understand the mathematical concepts underlying machine learning methods 
- Proficiency in automation, system monitoring, and cloud-native applications, with familiarity in AWS or Azure (or a related cloud platform) 
- Previous exposure to Natural Language Processing (NLP) problems and have familiarity with key tasks such as Named Entity Recognition (NER), Information Extraction, Information Retrieval, etc. 
- Ability to understand and translate between language and methodologies used both in research and engineering fields 
- Ability to take and integrate Machine Learning solutions to production-grade software
This posting is for proactive recruitment purposes and may be used to fill current openings or future vacancies within our organization.
What’s in it For You?
- Hybrid Work Model: We’ve adopted a flexible hybrid working environment for our office-based roles while delivering a seamless experience that is digitally and physically connected.
- 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x:v>
      </x:c>
      <x:c r="AC119" s="68" t="str">
        <x:v>Not Applicable</x:v>
      </x:c>
      <x:c r="AD119" s="68" t="str">
        <x:v>Full-time</x:v>
      </x:c>
      <x:c r="AE119" s="68" t="str">
        <x:v>Engineering and Information Technology</x:v>
      </x:c>
      <x:c r="AF119" s="68" t="str">
        <x:v>Software Development</x:v>
      </x:c>
      <x:c r="AG119" s="68" t="str">
        <x:v>https://www.linkedin.com/jobs/search/?position=1&amp;pageNum=0&amp;keywords=AI+Engineer&amp;location=United+States&amp;distance=0&amp;f_TPR=r604800</x:v>
      </x:c>
      <x:c r="AH119" s="68" t="str">
        <x:v>{'type': 'PostalAddress', 'streetAddress': '19 Duncan Street ', 'addressLocality': 'Toronto', 'addressRegion': 'ON', 'postalCode': 'M5H 3G6', 'addressCountry': 'CA'}</x:v>
      </x:c>
      <x:c r="AI119" s="68" t="str">
        <x:v>http://tr.com</x:v>
      </x:c>
      <x:c r="AJ119" s="68"/>
      <x:c r="AK119" s="68"/>
      <x:c r="AL119" s="68"/>
      <x:c r="AM119" s="68"/>
      <x:c r="AN119" s="68"/>
      <x:c r="AO119" s="68"/>
      <x:c r="AP119" s="68"/>
    </x:row>
    <x:row r="120" s="25" customFormat="1" ht="22" customHeight="1">
      <x:c r="A120" s="68" t="str">
        <x:v>4450261795</x:v>
      </x:c>
      <x:c r="B120" s="68" t="str">
        <x:v>AI Engineer</x:v>
      </x:c>
      <x:c r="C120" s="68" t="str">
        <x:v>Selby Jennings</x:v>
      </x:c>
      <x:c r="D120" s="68" t="str">
        <x:v>New York, NY</x:v>
      </x:c>
      <x:c r="E120" s="68" t="str">
        <x:v>Failed</x:v>
      </x:c>
      <x:c r="F120" s="68"/>
      <x:c r="G120" s="69"/>
      <x:c r="H120" s="85" t="str">
        <x:v>2026-08-06</x:v>
      </x:c>
      <x:c r="I120" s="85" t="str">
        <x:v>2026-08-12 13:18:49</x:v>
      </x:c>
      <x:c r="J120" s="68" t="str">
        <x:v>106</x:v>
      </x:c>
      <x:c r="K120" s="70" t="str">
        <x:v>$200,000.00/yr - $250,000.00/yr</x:v>
      </x:c>
      <x:c r="L120" s="86"/>
      <x:c r="M120" s="87"/>
      <x:c r="N120" s="71"/>
      <x:c r="O120" s="88"/>
      <x:c r="P120" s="89"/>
      <x:c r="Q120" s="89"/>
      <x:c r="R120" s="89"/>
      <x:c r="S120" s="73"/>
      <x:c r="T120" s="68"/>
      <x:c r="U120" s="68" t="str">
        <x:v>https://www.linkedin.com/jobs/view/ai-engineer-at-selby-jennings-4450261795?position=60&amp;pageNum=0&amp;refId=7cQDupwnUIWTR2NYcM6GGg%3D%3D&amp;trackingId=aYCB9R6csvSrn2AC3MpbZg%3D%3D</x:v>
      </x:c>
      <x:c r="V120" s="68" t="str">
        <x:v>aYCB9R6csvSrn2AC3MpbZg==</x:v>
      </x:c>
      <x:c r="W120" s="68" t="str">
        <x:v>7cQDupwnUIWTR2NYcM6GGg==</x:v>
      </x:c>
      <x:c r="X120" s="68" t="str">
        <x:v>https://uk.linkedin.com/company/selby-jennings?trk=public_jobs_jserp-result_job-search-card-subtitle</x:v>
      </x:c>
      <x:c r="Y120" s="68" t="str">
        <x:v>https://media.licdn.com/dms/image/v2/D4E0BAQFwmHv7O_XVNg/company-logo_100_100/B4EZfGC.oWG4AQ-/0/1751374359452/selby_jennings_logo?e=2147483647&amp;v=beta&amp;t=1M1QONPqqa-DR2740qOg7HjBYbhiH0M6YuwPi41US7M</x:v>
      </x:c>
      <x:c r="Z120" s="68"/>
      <x:c r="AA120" s="68" t="str">
        <x:v>&lt;p&gt;A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environments.&lt;/p&gt;&lt;p&gt; &lt;/p&gt;&lt;p&gt;&lt;strong&gt; &lt;/strong&gt;&lt;strong&gt;Responsibilities:&lt;/strong&gt;&lt;/p&gt;&lt;ul&gt;&lt;li&gt;Partner with investment professionals to identify opportunities for AI-driven workflow improvements.&lt;/li&gt;&lt;li&gt;Build and deploy research tools leveraging LLMs, RAG architectures, and agentic AI systems.&lt;/li&gt;&lt;li&gt;Develop GenAI applications using both internal platforms and external AI models/APIs.&lt;/li&gt;&lt;li&gt;Lead projects from concept through production, including prototyping, deployment, and user feedback.&lt;/li&gt;&lt;li&gt;Evaluate emerging AI technologies and collaborate with engineering teams to deliver scalable, high-impact solutions.&lt;/li&gt;&lt;/ul&gt;&lt;p&gt; &lt;/p&gt;&lt;p&gt;&lt;strong&gt;Preferred Background:&lt;/strong&gt;&lt;/p&gt;&lt;ul&gt;&lt;li&gt;Experience building and deploying AI/ML applications in production environments.&lt;/li&gt;&lt;li&gt;Strong understanding of LLMs, agentic systems, RAG, and modern AI frameworks.&lt;/li&gt;&lt;li&gt;Strong software engineering skills in Python.&lt;/li&gt;&lt;li&gt;Ability to work directly with business stakeholders and translate requirements into technical solutions.&lt;/li&gt;&lt;li&gt;Will consider candidates with experience in financial services, technology, consulting, or other data-intensive industries&lt;br&gt;&lt;/li&gt;&lt;/ul&gt;&lt;strong&gt;Desired Skills and Experience&lt;br&gt;&lt;br&gt;&lt;/strong&gt;A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environments.&lt;br&gt;&lt;br&gt;Responsibilities:&lt;br&gt;* Partner with investment professionals to identify opportunities for AI-driven workflow improvements.&lt;br&gt;* Build and deploy research tools leveraging LLMs, RAG architectures, and agentic AI systems.&lt;br&gt;* Develop GenAI applications using both internal platforms and external AI models/APIs.&lt;br&gt;* Lead projects from concept through production, including prototyping, deployment, and user feedback.&lt;br&gt;* Evaluate emerging AI technologies and collaborate with engineering teams to deliver scalable, high-impact solutions.&lt;br&gt;&lt;br&gt;Preferred Background:&lt;br&gt;* Experience building and deploying AI/ML applications in production environments.&lt;br&gt;* Strong understanding of LLMs, agentic systems, RAG, and modern AI frameworks.&lt;br&gt;* Strong software engineering skills in Python.&lt;br&gt;* Ability to work directly with business stakeholders and translate requirements into technical solutions.&lt;br&gt;* Will consider candidates with experience in financial services, technology, consulting, or other data-intensive industries.</x:v>
      </x:c>
      <x:c r="AB120" s="68" t="str">
        <x:v>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
Desired Skills and Experience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x:v>
      </x:c>
      <x:c r="AC120" s="68" t="str">
        <x:v>Mid-Senior level</x:v>
      </x:c>
      <x:c r="AD120" s="68" t="str">
        <x:v>Full-time</x:v>
      </x:c>
      <x:c r="AE120" s="68" t="str">
        <x:v>Engineering</x:v>
      </x:c>
      <x:c r="AF120" s="68" t="str">
        <x:v>Investment Management</x:v>
      </x:c>
      <x:c r="AG120" s="68" t="str">
        <x:v>https://www.linkedin.com/jobs/search/?position=1&amp;pageNum=0&amp;keywords=AI+Engineer&amp;location=United+States&amp;distance=0&amp;f_TPR=r604800</x:v>
      </x:c>
      <x:c r="AH120" s="68" t="str">
        <x:v>{'type': 'PostalAddress', 'streetAddress': 'Level 7, Citypoint', 'addressLocality': 'London', 'addressRegion': 'Greater London', 'postalCode': 'EC2Y 9AW', 'addressCountry': 'GB'}</x:v>
      </x:c>
      <x:c r="AI120" s="68" t="str">
        <x:v>http://www.selbyjennings.com</x:v>
      </x:c>
      <x:c r="AJ120" s="68" t="str">
        <x:v>We identify, source, and deliver business-critical talent to the financial sciences &amp; services industry.</x:v>
      </x:c>
      <x:c r="AK120" s="68" t="str">
        <x:v>From Investment Banking, Risk Management, Quantitative Trading, and Insurance, to Investment Management, Sales &amp; Trading, Technology, and Wealth Management, Selby Jennings supports the world’s largest financial institutions to revolutionary fintech start-ups with all their hiring needs as a leading Financial Sciences and Services talent partner. 
If you would like to talk to us about your current talent needs, please request a call back here and one of our specialist consultants will call you back to discuss your hiring needs: https://www.selbyjennings.com/request-a-call-back</x:v>
      </x:c>
      <x:c r="AL120" s="68" t="str">
        <x:v>1048.0</x:v>
      </x:c>
      <x:c r="AM120" s="68" t="str">
        <x:v>Teddy Lawrence</x:v>
      </x:c>
      <x:c r="AN120" s="68" t="str">
        <x:v>Vice President – I assist tier-one hedge funds, prop trading firms, &amp; asset managers in placing top quantitative talent across the U.S.</x:v>
      </x:c>
      <x:c r="AO120" s="68" t="str">
        <x:v>https://media.licdn.com/dms/image/v2/D5603AQEs-ifA2pE9jw/profile-displayphoto-shrink_400_400/B56ZPBaRjGGkAo-/0/1734116711099?e=2147483647&amp;v=beta&amp;t=Rr-Iw3X_V5kmhhKe9NPoHH01bj7fY-BCtJo_Z2FJEjU</x:v>
      </x:c>
      <x:c r="AP120" s="68" t="str">
        <x:v>https://www.linkedin.com/in/teddylawrence</x:v>
      </x:c>
    </x:row>
    <x:row r="121" s="25" customFormat="1" ht="22" customHeight="1">
      <x:c r="A121" s="68" t="str">
        <x:v>4433467370</x:v>
      </x:c>
      <x:c r="B121" s="68" t="str">
        <x:v>AI Engineer</x:v>
      </x:c>
      <x:c r="C121" s="68" t="str">
        <x:v>MassMutual</x:v>
      </x:c>
      <x:c r="D121" s="68" t="str">
        <x:v>Springfield, MA</x:v>
      </x:c>
      <x:c r="E121" s="68" t="str">
        <x:v>In Progress</x:v>
      </x:c>
      <x:c r="F121" s="68"/>
      <x:c r="G121" s="69"/>
      <x:c r="H121" s="85" t="str">
        <x:v>2026-08-08</x:v>
      </x:c>
      <x:c r="I121" s="85" t="str">
        <x:v>2026-08-12 13:18:49</x:v>
      </x:c>
      <x:c r="J121" s="68" t="str">
        <x:v>200</x:v>
      </x:c>
      <x:c r="K121" s="70"/>
      <x:c r="L121" s="86"/>
      <x:c r="M121" s="87"/>
      <x:c r="N121" s="71"/>
      <x:c r="O121" s="88"/>
      <x:c r="P121" s="89"/>
      <x:c r="Q121" s="89"/>
      <x:c r="R121" s="89"/>
      <x:c r="S121" s="73"/>
      <x:c r="T121" s="68"/>
      <x:c r="U121" s="68" t="str">
        <x:v>https://www.linkedin.com/jobs/view/ai-engineer-at-massmutual-4433467370?position=59&amp;pageNum=0&amp;refId=7cQDupwnUIWTR2NYcM6GGg%3D%3D&amp;trackingId=yM%2FoIpgNJQn%2B6bhSGBYmCA%3D%3D</x:v>
      </x:c>
      <x:c r="V121" s="68" t="str">
        <x:v>yM/oIpgNJQn+6bhSGBYmCA==</x:v>
      </x:c>
      <x:c r="W121" s="68" t="str">
        <x:v>7cQDupwnUIWTR2NYcM6GGg==</x:v>
      </x:c>
      <x:c r="X121" s="68" t="str">
        <x:v>https://www.linkedin.com/company/massmutual-financial-group?trk=public_jobs_jserp-result_job-search-card-subtitle</x:v>
      </x:c>
      <x:c r="Y121" s="68" t="str">
        <x:v>https://media.licdn.com/dms/image/v2/C4D0BAQHw6CXARf0x1g/company-logo_100_100/company-logo_100_100/0/1641394602825/massmutual_financial_group_logo?e=2147483647&amp;v=beta&amp;t=w7exswr3GXWlnQWTt98GkGBruh7vcmvy9Fky2OI3EiY</x:v>
      </x:c>
      <x:c r="Z121" s="68"/>
      <x:c r="AA121" s="68" t="str">
        <x:v>&lt;strong&gt;Job Description&lt;br&gt;&lt;br&gt;&lt;/strong&gt;&lt;strong&gt;AI Engineer | Data Science &amp;amp; AI Engineering&lt;br&gt;&lt;br&gt;&lt;/strong&gt;&lt;strong&gt;Full-Time Hybrid (3 days/per week in office)&lt;br&gt;&lt;br&gt;&lt;/strong&gt;&lt;strong&gt;The Opportunity&lt;br&gt;&lt;br&gt;&lt;/strong&gt;MassMutual’s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deployment.&lt;br&gt;&lt;br&gt;&lt;strong&gt;The Team&lt;br&gt;&lt;br&gt;&lt;/strong&gt;This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tractable.&lt;br&gt;&lt;br&gt;&lt;strong&gt;The Impact&lt;br&gt;&lt;br&gt;&lt;/strong&gt;&lt;ul&gt;&lt;li&gt;Design, build, and deliver end-to-end AI/ML solutions for defined business use cases, using LLMs, deep learning, agentic AI, and probabilistic modeling, with ownership of quality and performance from development through deployment.&lt;/li&gt;&lt;li&gt;Frame and scope AI problems independently, defining success metrics and evaluation criteria in collaboration with stakeholders before and during solution development.&lt;/li&gt;&lt;li&gt;Design and conduct rigorous evaluations of AI system performance, including experimentation, benchmarking across models, and quantitative analysis, to validate approaches and support sound technical decisions.&lt;/li&gt;&lt;li&gt;Build rapid prototypes to test AI approaches and advance validated solutions into production-grade applications (e.g., intelligent interfaces, dashboards, automated pipelines).&lt;/li&gt;&lt;li&gt;Apply best practices in AI development, responsible AI deployment, and production engineering, contributing to team-wide standards and reusable frameworks.&lt;/li&gt;&lt;li&gt;Communicate findings and recommendations clearly to technical peers and non-technical stakeholders, translating quantitative results into actionable insights.&lt;/li&gt;&lt;li&gt;Contribute to team knowledge and development, including peer feedback, documentation, and knowledge sharing with less experienced colleagues.&lt;br&gt;&lt;br&gt;&lt;/li&gt;&lt;/ul&gt;&lt;strong&gt;The Minimum Qualifications&lt;br&gt;&lt;br&gt;&lt;/strong&gt;&lt;ul&gt;&lt;li&gt;4+ years of experience in data science, machine learning, or AI engineering, with a track record of delivering AI/ML solutions independently and at scale.&lt;/li&gt;&lt;li&gt;4+ years of experience across the following areas:&lt;/li&gt;&lt;ul&gt;&lt;li&gt;Machine learning, statistics, NLP, and LLMs, including generative AI, agentic architectures, prompt engineering, and evaluation of LLM performance across foundation models.&lt;/li&gt;&lt;li&gt;Building and deploying production AI systems, including model integration, API development, and cloud-based infrastructure.&lt;/li&gt;&lt;li&gt;Python programming, with the ability to write clean, well-tested, production-quality code.&lt;/li&gt;&lt;/ul&gt;&lt;li&gt;Bachelor’s degree in Computer Science, Statistics, Applied Mathematics, Electrical Engineering, Physics, or a related quantitative field.&lt;br&gt;&lt;/li&gt;&lt;/ul&gt;&lt;strong&gt;The Ideal Qualifications&lt;br&gt;&lt;br&gt;&lt;/strong&gt;&lt;ul&gt;&lt;li&gt;Experience with agentic AI frameworks and tooling, such as Bedrock AgentCore, AWS Strands, Azure, and MCP/A2A protocols.&lt;/li&gt;&lt;li&gt;Breadth across AI and data science methods, including classical ML, causal inference, optimization, and Bayesian approaches, with comfort working across techniques as problems demand.&lt;/li&gt;&lt;li&gt;Proficiency in SQL and database design; familiarity with cloud-native data platforms, vector databases, and semantic search.&lt;/li&gt;&lt;li&gt;Master’s degree or equivalent depth demonstrated through research, applied projects, or prior work. Candidates with a Master’s may be considered with fewer years of professional experience.&lt;/li&gt;&lt;li&gt;Applied research credentials, such as published work, significant open-source contributions, or a demonstrated record of scientific rigor in industry.&lt;/li&gt;&lt;li&gt;Clear and effective communication skills, with the ability to explain technical concepts and present findings to both technical and non-technical audiences.&lt;br&gt;&lt;br&gt;&lt;/li&gt;&lt;/ul&gt;&lt;strong&gt;What to Expect as Part of MassMutual and the Team&lt;br&gt;&lt;br&gt;&lt;/strong&gt;&lt;ul&gt;&lt;li&gt;Regular meetings with the AI &amp;amp; Data Science team&lt;/li&gt;&lt;li&gt;Focused one-on-one meetings with your manager&lt;/li&gt;&lt;li&gt;Networking opportunities including access to Asian, Hispanic/Latinx, African American, women, LGBTQIA+, veteran and disability-focused Business Resource Groups&lt;/li&gt;&lt;li&gt;Access to learning content on Degreed and other informational platforms&lt;/li&gt;&lt;li&gt;Your ethics and integrity will be valued by a company with a strong and stable ethical business with industry leading pay and benefits&lt;br&gt;&lt;br&gt;&lt;/li&gt;&lt;/ul&gt;MassMutual is an equal employment opportunity employer. We welcome all persons to apply.&lt;br&gt;&lt;br&gt;If you need an accommodation to complete the application process, please contact us and share the specifics of the assistance you need.&lt;br&gt;&lt;br&gt;California residents: For detailed information about your rights under the California Consumer Privacy Act (CCPA), please visit our California Consumer Privacy Act Disclosures page.&lt;br&gt;&lt;br&gt;</x:v>
      </x:c>
      <x:c r="AB121" s="68" t="str">
        <x:v>Job Description
AI Engineer | Data Science &amp;amp; AI Engineering
Full-Time Hybrid (3 days/per week in office)
The Opportunity
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
The Team
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
The Impact
- Design, build, and deliver end-to-end AI/ML solutions for defined business use cases, using LLMs, deep learning, agentic AI, and probabilistic modeling, with ownership of quality and performance from development through deployment.
- Frame and scope AI problems independently, defining success metrics and evaluation criteria in collaboration with stakeholders before and during solution development.
- Design and conduct rigorous evaluations of AI system performance, including experimentation, benchmarking across models, and quantitative analysis, to validate approaches and support sound technical decisions.
- Build rapid prototypes to test AI approaches and advance validated solutions into production-grade applications (e.g., intelligent interfaces, dashboards, automated pipelines).
- Apply best practices in AI development, responsible AI deployment, and production engineering, contributing to team-wide standards and reusable frameworks.
- Communicate findings and recommendations clearly to technical peers and non-technical stakeholders, translating quantitative results into actionable insights.
- Contribute to team knowledge and development, including peer feedback, documentation, and knowledge sharing with less experienced colleagues.
The Minimum Qualifications
- 4+ years of experience in data science, machine learning, or AI engineering, with a track record of delivering AI/ML solutions independently and at scale.
- 4+ years of experience across the following areas:
- Machine learning, statistics, NLP, and LLMs, including generative AI, agentic architectures, prompt engineering, and evaluation of LLM performance across foundation models.
- Building and deploying production AI systems, including model integration, API development, and cloud-based infrastructure.
- Python programming, with the ability to write clean, well-tested, production-quality code.
- Bachelor’s degree in Computer Science, Statistics, Applied Mathematics, Electrical Engineering, Physics, or a related quantitative field.
The Ideal Qualifications
- Experience with agentic AI frameworks and tooling, such as Bedrock AgentCore, AWS Strands, Azure, and MCP/A2A protocols.
- Breadth across AI and data science methods, including classical ML, causal inference, optimization, and Bayesian approaches, with comfort working across techniques as problems demand.
- Proficiency in SQL and database design; familiarity with cloud-native data platforms, vector databases, and semantic search.
- Master’s degree or equivalent depth demonstrated through research, applied projects, or prior work. Candidates with a Master’s may be considered with fewer years of professional experience.
- Applied research credentials, such as published work, significant open-source contributions, or a demonstrated record of scientific rigor in industry.
- Clear and effective communication skills, with the ability to explain technical concepts and present findings to both technical and non-technical audiences.
What to Expect as Part of MassMutual and the Team
- Regular meetings with the AI &amp;amp; Data Science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
</x:v>
      </x:c>
      <x:c r="AC121" s="68" t="str">
        <x:v>Not Applicable</x:v>
      </x:c>
      <x:c r="AD121" s="68" t="str">
        <x:v>Full-time</x:v>
      </x:c>
      <x:c r="AE121" s="68" t="str">
        <x:v>Engineering and Information Technology</x:v>
      </x:c>
      <x:c r="AF121" s="68" t="str">
        <x:v>Financial Services</x:v>
      </x:c>
      <x:c r="AG121" s="68" t="str">
        <x:v>https://www.linkedin.com/jobs/search/?position=1&amp;pageNum=0&amp;keywords=AI+Engineer&amp;location=United+States&amp;distance=0&amp;f_TPR=r604800</x:v>
      </x:c>
      <x:c r="AH121" s="68" t="str">
        <x:v>{'type': 'PostalAddress', 'streetAddress': '1295 State Street', 'addressLocality': 'Springfield', 'addressRegion': 'Massachusetts', 'postalCode': '01111', 'addressCountry': 'US'}</x:v>
      </x:c>
      <x:c r="AI121" s="68" t="str">
        <x:v>https://www.MassMutual.com</x:v>
      </x:c>
      <x:c r="AJ121" s="68"/>
      <x:c r="AK121" s="68" t="str">
        <x:v>Living mutual has always been at the core of our human existence, and it's the principle that's guided us since our founding in 1851. It's not a concept we invented, but one we champion for the simple reason that people take it for granted today.
While the world would have us strive for independence, the truth is when we depend on one another, we aren't just more secure - life is happier and more fulfilling. So as we celebrate our new identity, we're reminding everyone that who we are stays the same. 
Learn more at: www.MassMutual.com
Disclosures about MassMutual’s LinkedIn Company Page and other social media sites are located at: https://www.massmutual.com/social-media-guidelines. 
CRN201905-212768 
</x:v>
      </x:c>
      <x:c r="AL121" s="68" t="str">
        <x:v>11714.0</x:v>
      </x:c>
      <x:c r="AM121" s="68"/>
      <x:c r="AN121" s="68"/>
      <x:c r="AO121" s="68"/>
      <x:c r="AP121" s="68"/>
    </x:row>
    <x:row r="122" s="25" customFormat="1" ht="22" customHeight="1">
      <x:c r="A122" s="68" t="str">
        <x:v>4449695407</x:v>
      </x:c>
      <x:c r="B122" s="68" t="str">
        <x:v>AI Engineer</x:v>
      </x:c>
      <x:c r="C122" s="68" t="str">
        <x:v>Booz Allen Hamilton</x:v>
      </x:c>
      <x:c r="D122" s="68" t="str">
        <x:v>San Antonio, TX</x:v>
      </x:c>
      <x:c r="E122" s="68" t="str">
        <x:v>Applied</x:v>
      </x:c>
      <x:c r="F122" s="68"/>
      <x:c r="G122" s="69"/>
      <x:c r="H122" s="85" t="str">
        <x:v>2026-08-05</x:v>
      </x:c>
      <x:c r="I122" s="85" t="str">
        <x:v>2026-08-12 13:18:49</x:v>
      </x:c>
      <x:c r="J122" s="68" t="str">
        <x:v>25</x:v>
      </x:c>
      <x:c r="K122" s="70"/>
      <x:c r="L122" s="86"/>
      <x:c r="M122" s="87"/>
      <x:c r="N122" s="71"/>
      <x:c r="O122" s="88"/>
      <x:c r="P122" s="89"/>
      <x:c r="Q122" s="89"/>
      <x:c r="R122" s="89"/>
      <x:c r="S122" s="73"/>
      <x:c r="T122" s="68"/>
      <x:c r="U122" s="68" t="str">
        <x:v>https://www.linkedin.com/jobs/view/ai-engineer-at-booz-allen-hamilton-4449695407?position=56&amp;pageNum=0&amp;refId=7cQDupwnUIWTR2NYcM6GGg%3D%3D&amp;trackingId=XvOD6Bqz3UGo7GqgOarjKA%3D%3D</x:v>
      </x:c>
      <x:c r="V122" s="68" t="str">
        <x:v>XvOD6Bqz3UGo7GqgOarjKA==</x:v>
      </x:c>
      <x:c r="W122" s="68" t="str">
        <x:v>7cQDupwnUIWTR2NYcM6GGg==</x:v>
      </x:c>
      <x:c r="X122" s="68" t="str">
        <x:v>https://www.linkedin.com/company/booz-allen-hamilton?trk=public_jobs_jserp-result_job-search-card-subtitle</x:v>
      </x:c>
      <x:c r="Y122" s="68" t="str">
        <x:v>https://media.licdn.com/dms/image/v2/D4E0BAQFXBzVcVDSTOQ/company-logo_100_100/company-logo_100_100/0/1737465459820/booz_allen_hamilton_logo?e=2147483647&amp;v=beta&amp;t=SswDqk5ZXqP0jtQgXL12ktHuwfRb0zf8se42kJe-lFM</x:v>
      </x:c>
      <x:c r="Z122" s="68"/>
      <x:c r="AA122" s="68" t="str">
        <x:v>&lt;strong&gt;Job Number: R0246114&lt;br&gt;&lt;br&gt;&lt;/strong&gt;AI Engineer&lt;br&gt;&lt;br&gt;&lt;strong&gt;The Opportunity: &lt;br&gt;&lt;br&gt;&lt;/strong&gt;As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systems.&lt;br&gt;&lt;br&gt;In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environments.&lt;br&gt;&lt;br&gt;Join us. The world can’t wait.&lt;br&gt;&lt;br&gt;&lt;strong&gt;You Have:&lt;/strong&gt; &lt;br&gt;&lt;br&gt;&lt;ul&gt;&lt;li&gt;3+ years of experience developing and maintaining production software systems in Python&lt;/li&gt;&lt;li&gt;Experience designing and implementing intelligent AI agent architectures using LangChain, LangGraph, AutoGen, MCP, and A2A&lt;/li&gt;&lt;li&gt;Experience building RAG solutions with KGs and fine-tuning SLMs using ONNX, GGML, or Ollama&lt;/li&gt;&lt;li&gt;Experience integrating LLMs, external APIs, and distributed services into production environments with optimized inference workflows&lt;/li&gt;&lt;li&gt;Experience developing AI evaluation frameworks, integration tests, and production validation using ReAct and human-in-the-loop methodologies&lt;/li&gt;&lt;li&gt;Knowledge of secure HTTP APIs, OAuth2, JWT, API Keys, containerization, and CI/CD pipelines&lt;/li&gt;&lt;li&gt;Ability to travel up to 25% of the time&lt;/li&gt;&lt;li&gt;TS/SCI clearance &lt;/li&gt;&lt;li&gt;Bachelor's degree in CS, Engineering, or Data Science&lt;/li&gt;&lt;li&gt;DoD 8140 baseline Level II Certification such as Security+, CySA+, CISSP, or DoD Cyber Workforce Framework Certification&lt;br&gt;&lt;br&gt;&lt;br&gt;&lt;/li&gt;&lt;/ul&gt;&lt;strong&gt;Nice If You Have:&lt;/strong&gt; &lt;br&gt;&lt;br&gt;&lt;ul&gt;&lt;li&gt;Experience supporting DoW clients or other federal mission environments&lt;/li&gt;&lt;li&gt;Experience with advanced agentic patterns, including prompt caching, guardrails, agentic memory, Model Context Protocol (MCP), and agentic deployment strategies&lt;/li&gt;&lt;li&gt;Experience with end-to-end chatbot or agent to agent (A2A) development&lt;/li&gt;&lt;li&gt;Experience with enterprise data and ML platforms such as Databricks or Snowflake&lt;/li&gt;&lt;li&gt;Experience creating and managing large data processing pipelines&lt;/li&gt;&lt;li&gt;Master’s degree &lt;br&gt;&lt;br&gt;&lt;br&gt;&lt;/li&gt;&lt;/ul&gt;&lt;strong&gt;Clearance: &lt;br&gt;&lt;br&gt;&lt;/strong&gt;Applicants selected will be subject to a security investigation and may need to meet eligibility requirements for access to classified information; TS/SCI clearance is required. &lt;br&gt;&lt;br&gt;&lt;strong&gt;Compensation&lt;br&gt;&lt;br&gt;&lt;/strong&gt;At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v>
      </x:c>
      <x:c r="AB122" s="68" t="str">
        <x:v>Job Number: R0246114
AI Engineer
The Opportunity: 
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
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
Join us. The world can’t wait.
You Have: 
- 3+ years of experience developing and maintaining production software systems in Python
- Experience designing and implementing intelligent AI agent architectures using LangChain, LangGraph, AutoGen, MCP, and A2A
- Experience building RAG solutions with KGs and fine-tuning SLMs using ONNX, GGML, or Ollama
- Experience integrating LLMs, external APIs, and distributed services into production environments with optimized inference workflows
- Experience developing AI evaluation frameworks, integration tests, and production validation using ReAct and human-in-the-loop methodologies
- Knowledge of secure HTTP APIs, OAuth2, JWT, API Keys, containerization, and CI/CD pipelines
- Ability to travel up to 25% of the time
- TS/SCI clearance 
- Bachelor's degree in CS, Engineering, or Data Science
- DoD 8140 baseline Level II Certification such as Security+, CySA+, CISSP, or DoD Cyber Workforce Framework Certification
Nice If You Have: 
- Experience supporting DoW clients or other federal mission environments
- Experience with advanced agentic patterns, including prompt caching, guardrails, agentic memory, Model Context Protocol (MCP), and agentic deployment strategies
- Experience with end-to-end chatbot or agent to agent (A2A) development
- Experience with enterprise data and ML platforms such as Databricks or Snowflake
- Experience creating and managing large data processing pipelines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v>
      </x:c>
      <x:c r="AC122" s="68" t="str">
        <x:v>Not Applicable</x:v>
      </x:c>
      <x:c r="AD122" s="68" t="str">
        <x:v>Full-time</x:v>
      </x:c>
      <x:c r="AE122" s="68" t="str">
        <x:v>Engineering and Information Technology</x:v>
      </x:c>
      <x:c r="AF122" s="68" t="str">
        <x:v>Software Development</x:v>
      </x:c>
      <x:c r="AG122" s="68" t="str">
        <x:v>https://www.linkedin.com/jobs/search/?position=1&amp;pageNum=0&amp;keywords=AI+Engineer&amp;location=United+States&amp;distance=0&amp;f_TPR=r604800</x:v>
      </x:c>
      <x:c r="AH122" s="68" t="str">
        <x:v>{'type': 'PostalAddress', 'streetAddress': '8283 Greensboro Drive', 'addressLocality': 'McLean', 'addressRegion': 'VA', 'postalCode': '22102', 'addressCountry': 'US'}</x:v>
      </x:c>
      <x:c r="AI122" s="68" t="str">
        <x:v>https://boozallen.co/3PbO3a2</x:v>
      </x:c>
      <x:c r="AJ122" s="68"/>
      <x:c r="AK122" s="68" t="str">
        <x:v>Whether at the border, up in space, or on the battlefield, we build the advanced technology that makes America stronger, faster, and safer. It’s who we are and what we do. It’s in our code. </x:v>
      </x:c>
      <x:c r="AL122" s="68" t="str">
        <x:v>37240.0</x:v>
      </x:c>
      <x:c r="AM122" s="68"/>
      <x:c r="AN122" s="68"/>
      <x:c r="AO122" s="68"/>
      <x:c r="AP122" s="68"/>
    </x:row>
    <x:row r="123" s="25" customFormat="1" ht="22" customHeight="1">
      <x:c r="A123" s="68" t="str">
        <x:v>4450127541</x:v>
      </x:c>
      <x:c r="B123" s="68" t="str">
        <x:v>AI Engineer</x:v>
      </x:c>
      <x:c r="C123" s="68" t="str">
        <x:v>scalr</x:v>
      </x:c>
      <x:c r="D123" s="68" t="str">
        <x:v>San Francisco Bay Area</x:v>
      </x:c>
      <x:c r="E123" s="68" t="str">
        <x:v>Applied</x:v>
      </x:c>
      <x:c r="F123" s="68"/>
      <x:c r="G123" s="69"/>
      <x:c r="H123" s="85" t="str">
        <x:v>2026-08-12</x:v>
      </x:c>
      <x:c r="I123" s="85" t="str">
        <x:v>2026-08-12 13:18:49</x:v>
      </x:c>
      <x:c r="J123" s="68" t="str">
        <x:v>200</x:v>
      </x:c>
      <x:c r="K123" s="70" t="str">
        <x:v>$200,000.00/yr - $400,000.00/yr</x:v>
      </x:c>
      <x:c r="L123" s="86"/>
      <x:c r="M123" s="87"/>
      <x:c r="N123" s="71"/>
      <x:c r="O123" s="88"/>
      <x:c r="P123" s="89"/>
      <x:c r="Q123" s="89"/>
      <x:c r="R123" s="89"/>
      <x:c r="S123" s="73"/>
      <x:c r="T123" s="68"/>
      <x:c r="U123" s="68" t="str">
        <x:v>https://www.linkedin.com/jobs/view/ai-engineer-at-scalr-4450127541?position=54&amp;pageNum=0&amp;refId=7cQDupwnUIWTR2NYcM6GGg%3D%3D&amp;trackingId=NrOZnXdys%2FDdm6yEGheMCA%3D%3D</x:v>
      </x:c>
      <x:c r="V123" s="68" t="str">
        <x:v>NrOZnXdys/Ddm6yEGheMCA==</x:v>
      </x:c>
      <x:c r="W123" s="68" t="str">
        <x:v>7cQDupwnUIWTR2NYcM6GGg==</x:v>
      </x:c>
      <x:c r="X123" s="68" t="str">
        <x:v>https://www.linkedin.com/company/scalr-pro?trk=public_jobs_jserp-result_job-search-card-subtitle</x:v>
      </x:c>
      <x:c r="Y123" s="68" t="str">
        <x:v>https://media.licdn.com/dms/image/v2/D4E0BAQHqn8ZbkgfeEw/company-logo_100_100/B4EZmqS6HxKYAQ-/0/1759498708393?e=2147483647&amp;v=beta&amp;t=d9KrE6FHhRGBw3bcHFqusfii3nE0GjcsVlV5c62xI6A</x:v>
      </x:c>
      <x:c r="Z123" s="68"/>
      <x:c r="AA123" s="68" t="str">
        <x:v>&lt;p&gt;&lt;strong&gt;AI Engineer (Forward Deployed) &lt;/strong&gt;&lt;/p&gt;&lt;p&gt;&lt;br&gt;&lt;/p&gt;&lt;p&gt;&lt;strong&gt;SF/NYC - $200k-$400k - early equity &lt;/strong&gt;&lt;/p&gt;&lt;p&gt;&lt;br&gt;&lt;/p&gt;&lt;p&gt;Join a small, high-calibre AI team working at the frontier of model development and deployment.&lt;/p&gt;&lt;p&gt;&lt;br&gt;&lt;/p&gt;&lt;p&gt;This is a hands-on Applied ML role focused on LLM post-training, fine-tuning, and evaluation, adapting models for real-world use cases and pushing performance in production environments.&lt;/p&gt;&lt;p&gt;&lt;br&gt;&lt;/p&gt;&lt;p&gt;&lt;strong&gt;What You’ll Do: &lt;/strong&gt;&lt;/p&gt;&lt;ul&gt;&lt;li&gt;Fine-tune and iterate on LLMs&lt;/li&gt;&lt;li&gt;Build and run evaluation frameworks to measure real performance&lt;/li&gt;&lt;li&gt;Prepare and curate training data from messy, real-world inputs&lt;/li&gt;&lt;li&gt;Debug training and inference issues, improving model reliability&lt;/li&gt;&lt;li&gt;Support deployment of models into production environments&lt;/li&gt;&lt;/ul&gt;&lt;p&gt;&lt;br&gt;&lt;/p&gt;&lt;p&gt;&lt;strong&gt;What We’re Looking For: &lt;/strong&gt;&lt;/p&gt;&lt;ul&gt;&lt;li&gt;Strong hands-on experience with LLM post-training and fine-tuning&lt;/li&gt;&lt;li&gt;Deep understanding of evaluation methodology and model quality&lt;/li&gt;&lt;li&gt;Comfortable with training infrastructure and debugging training runs&lt;/li&gt;&lt;li&gt;Strong Python engineering fundamentals and experience shipping ML systems&lt;/li&gt;&lt;li&gt;Ability to operate in fast-paced, ambiguous environments&lt;/li&gt;&lt;/ul&gt;</x:v>
      </x:c>
      <x:c r="AB123" s="68" t="str">
        <x:v>
AI Engineer (Forward Deployed) 
SF/NYC - $200k-$400k - early equity 
Join a small, high-calibre AI team working at the frontier of model development and deployment.
This is a hands-on Applied ML role focused on LLM post-training, fine-tuning, and evaluation, adapting models for real-world use cases and pushing performance in production environments.
What You’ll Do: 
- Fine-tune and iterate on LLMs
- Build and run evaluation frameworks to measure real performance
- Prepare and curate training data from messy, real-world inputs
- Debug training and inference issues, improving model reliability
- Support deployment of models into production environments
What We’re Looking For: 
- Strong hands-on experience with LLM post-training and fine-tuning
- Deep understanding of evaluation methodology and model quality
- Comfortable with training infrastructure and debugging training runs
- Strong Python engineering fundamentals and experience shipping ML systems
- Ability to operate in fast-paced, ambiguous environments</x:v>
      </x:c>
      <x:c r="AC123" s="68" t="str">
        <x:v>Mid-Senior level</x:v>
      </x:c>
      <x:c r="AD123" s="68" t="str">
        <x:v>Full-time</x:v>
      </x:c>
      <x:c r="AE123" s="68" t="str">
        <x:v>Engineering, Research, and Information Technology</x:v>
      </x:c>
      <x:c r="AF123" s="68" t="str">
        <x:v>Engineering Services, Research Services, and Space Research and Technology</x:v>
      </x:c>
      <x:c r="AG123" s="68" t="str">
        <x:v>https://www.linkedin.com/jobs/search/?position=1&amp;pageNum=0&amp;keywords=AI+Engineer&amp;location=United+States&amp;distance=0&amp;f_TPR=r604800</x:v>
      </x:c>
      <x:c r="AH123" s="68" t="str">
        <x:v>{'type': 'PostalAddress', 'addressLocality': 'New York', 'addressCountry': 'US'}</x:v>
      </x:c>
      <x:c r="AI123" s="68" t="str">
        <x:v>https://calendly.com/zack-scalr/scalr-introduction-zack-puzey</x:v>
      </x:c>
      <x:c r="AJ123" s="68" t="str">
        <x:v>elite engineering talent for high-growth startups.</x:v>
      </x:c>
      <x:c r="AK123" s="68"/>
      <x:c r="AL123" s="68" t="str">
        <x:v>2.0</x:v>
      </x:c>
      <x:c r="AM123" s="68" t="str">
        <x:v>Zack Puzey</x:v>
      </x:c>
      <x:c r="AN123" s="68" t="str">
        <x:v>Founder @ scalr - building world-class forward deployed teams</x:v>
      </x:c>
      <x:c r="AO123" s="68" t="str">
        <x:v>https://static.licdn.com/aero-v1/sc/h/9c8pery4andzj6ohjkjp54ma2</x:v>
      </x:c>
      <x:c r="AP123" s="68" t="str">
        <x:v>https://www.linkedin.com/in/fde-recruiter</x:v>
      </x:c>
    </x:row>
    <x:row r="124" s="25" customFormat="1" ht="22" customHeight="1">
      <x:c r="A124" s="68" t="str">
        <x:v>4451477637</x:v>
      </x:c>
      <x:c r="B124" s="68" t="str">
        <x:v>Agentic AI Developer – Python</x:v>
      </x:c>
      <x:c r="C124" s="68" t="str">
        <x:v>Photon</x:v>
      </x:c>
      <x:c r="D124" s="68" t="str">
        <x:v>Boston, MA</x:v>
      </x:c>
      <x:c r="E124" s="68" t="str">
        <x:v>Applied</x:v>
      </x:c>
      <x:c r="F124" s="68"/>
      <x:c r="G124" s="69"/>
      <x:c r="H124" s="85" t="str">
        <x:v>2026-08-10</x:v>
      </x:c>
      <x:c r="I124" s="85" t="str">
        <x:v>2026-08-12 13:18:49</x:v>
      </x:c>
      <x:c r="J124" s="68" t="str">
        <x:v>200</x:v>
      </x:c>
      <x:c r="K124" s="70"/>
      <x:c r="L124" s="86"/>
      <x:c r="M124" s="87"/>
      <x:c r="N124" s="71"/>
      <x:c r="O124" s="88"/>
      <x:c r="P124" s="89"/>
      <x:c r="Q124" s="89"/>
      <x:c r="R124" s="89"/>
      <x:c r="S124" s="73"/>
      <x:c r="T124" s="68"/>
      <x:c r="U124" s="68" t="str">
        <x:v>https://www.linkedin.com/jobs/view/agentic-ai-developer-%E2%80%93-python-at-photon-4451477637?position=52&amp;pageNum=0&amp;refId=7cQDupwnUIWTR2NYcM6GGg%3D%3D&amp;trackingId=ZThWnCtLJVybn%2BKZdzdJYA%3D%3D</x:v>
      </x:c>
      <x:c r="V124" s="68" t="str">
        <x:v>ZThWnCtLJVybn+KZdzdJYA==</x:v>
      </x:c>
      <x:c r="W124" s="68" t="str">
        <x:v>7cQDupwnUIWTR2NYcM6GGg==</x:v>
      </x:c>
      <x:c r="X124" s="68" t="str">
        <x:v>https://uk.linkedin.com/company/photon-interactive?trk=public_jobs_jserp-result_job-search-card-subtitle</x:v>
      </x:c>
      <x:c r="Y124" s="68" t="str">
        <x:v>https://media.licdn.com/dms/image/v2/C4D0BAQGdkIvXUdQMEA/company-logo_100_100/company-logo_100_100/0/1672822694984/photon_interactive_logo?e=2147483647&amp;v=beta&amp;t=SebRiyLIVysyl911kBmogSaqTk-uBkO3HhKHcQFMKmU</x:v>
      </x:c>
      <x:c r="Z124" s="68"/>
      <x:c r="AA124" s="68" t="str">
        <x:v>&lt;p&gt;&lt;strong&gt;Job Title: Agentic AI Developer – Python&lt;/strong&gt;&lt;/p&gt;&lt;p&gt;&lt;strong&gt;Location: Boston, MA&lt;/strong&gt;&lt;/p&gt;&lt;p&gt;&lt;br&gt;&lt;/p&gt;&lt;p&gt;&lt;strong&gt;About the Role&lt;/strong&gt;&lt;/p&gt;&lt;p&gt;We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orchestration.&lt;/p&gt;&lt;p&gt;&lt;br&gt;&lt;/p&gt;&lt;p&gt;&lt;br&gt;&lt;/p&gt;&lt;p&gt;&lt;strong&gt;Key Responsibilities&lt;/strong&gt;&lt;/p&gt;&lt;ul&gt;&lt;li&gt;Design and develop AI agents using Python frameworks such as &lt;strong&gt;PydanticAI&lt;/strong&gt;, &lt;strong&gt;LangGraph&lt;/strong&gt;, &lt;strong&gt;LangChain&lt;/strong&gt;, &lt;strong&gt;CrewAI&lt;/strong&gt;, or &lt;strong&gt;AutoGen&lt;/strong&gt;&lt;/li&gt;&lt;li&gt;Build multi-agent workflows with planning, reasoning, reflection, and tool-use capabilities&lt;/li&gt;&lt;li&gt;Integrate agents with enterprise tools via &lt;strong&gt;Model Context Protocol (MCP)&lt;/strong&gt;, REST APIs, and SDKs&lt;/li&gt;&lt;li&gt;Develop and deploy agentic applications on &lt;strong&gt;AWS Bedrock AgentCore&lt;/strong&gt; and/or &lt;strong&gt;Azure OpenAI&lt;/strong&gt;&lt;/li&gt;&lt;li&gt;Implement RAG (Retrieval-Augmented Generation) pipelines for grounding agent responses&lt;/li&gt;&lt;li&gt;Design structured outputs using &lt;strong&gt;Pydantic&lt;/strong&gt;models for validation and schema enforcement&lt;/li&gt;&lt;li&gt;Build evaluation frameworks (LLM-as-Judge, unit testing, compiler validation) for agent quality&lt;/li&gt;&lt;li&gt;Implement observability, tracing, and monitoring for agent workflows in production&lt;/li&gt;&lt;li&gt;Collaborate with platform engineering, security, and DevOps teams for production deployment&lt;/li&gt;&lt;li&gt;Apply responsible AI principles, guardrails, and security controls to agent systems&lt;/li&gt;&lt;/ul&gt;&lt;p&gt;&lt;br&gt;&lt;/p&gt;&lt;p&gt;&lt;br&gt;&lt;/p&gt;&lt;p&gt;&lt;strong&gt;Required Qualifications&lt;/strong&gt;&lt;/p&gt;&lt;ul&gt;&lt;li&gt;&lt;strong&gt;5+ years&lt;/strong&gt; of hands-on Python development experience&lt;/li&gt;&lt;li&gt;&lt;strong&gt;2+ years&lt;/strong&gt; experience with LLM-based application development (prompt engineering, chains, agents)&lt;/li&gt;&lt;li&gt;Strong proficiency in Python frameworks: &lt;strong&gt;FastAPI&lt;/strong&gt;, &lt;strong&gt;Pydantic&lt;/strong&gt;, &lt;strong&gt;asyncio&lt;/strong&gt;&lt;/li&gt;&lt;li&gt;Experience with at least one agentic AI framework: &lt;strong&gt;PydanticAI, LangGraph, LangChain, CrewAI, AutoGen, or Semantic Kernel&lt;/strong&gt;&lt;/li&gt;&lt;li&gt;Working knowledge of LLM APIs: &lt;strong&gt;OpenAI, AWS Bedrock, Azure OpenAI, Anthropic&lt;/strong&gt;&lt;/li&gt;&lt;li&gt;Experience building RAG systems with vector databases (Pinecone, Weaviate, FAISS, OpenSearch)&lt;/li&gt;&lt;li&gt;Familiarity with &lt;strong&gt;MCP (Model Context Protocol)&lt;/strong&gt; for tool/service connectivity&lt;/li&gt;&lt;li&gt;Understanding of agent patterns: ReAct, function calling, tool use, planning/decomposition, multi-agent orchestration&lt;/li&gt;&lt;li&gt;Experience with CI/CD pipelines, Git, containerization (Docker/Kubernetes)&lt;/li&gt;&lt;li&gt;Cloud platform experience: &lt;strong&gt;AWS&lt;/strong&gt; (Bedrock, Lambda, SageMaker, DynamoDB) and/or &lt;strong&gt;Azure&lt;/strong&gt; (OpenAI, Cognitive Services, Cosmos DB)&lt;/li&gt;&lt;/ul&gt;&lt;p&gt;&lt;br&gt;&lt;/p&gt;</x:v>
      </x:c>
      <x:c r="AB124" s="68" t="str">
        <x:v>
Job Title: Agentic AI Developer – Python
Location: Boston, MA
About the Role
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
Key Responsibilities
- Design and develop AI agents using Python frameworks such as PydanticAI, LangGraph, LangChain, CrewAI, or AutoGen
- Build multi-agent workflows with planning, reasoning, reflection, and tool-use capabilities
- Integrate agents with enterprise tools via Model Context Protocol (MCP), REST APIs, and SDKs
- Develop and deploy agentic applications on AWS Bedrock AgentCore and/or Azure OpenAI
- Implement RAG (Retrieval-Augmented Generation) pipelines for grounding agent responses
- Design structured outputs using Pydanticmodels for validation and schema enforcement
- Build evaluation frameworks (LLM-as-Judge, unit testing, compiler validation) for agent quality
- Implement observability, tracing, and monitoring for agent workflows in production
- Collaborate with platform engineering, security, and DevOps teams for production deployment
- Apply responsible AI principles, guardrails, and security controls to agent systems
Required Qualifications
- 5+ years of hands-on Python development experience
- 2+ years experience with LLM-based application development (prompt engineering, chains, agents)
- Strong proficiency in Python frameworks: FastAPI, Pydantic, asyncio
- Experience with at least one agentic AI framework: PydanticAI, LangGraph, LangChain, CrewAI, AutoGen, or Semantic Kernel
- Working knowledge of LLM APIs: OpenAI, AWS Bedrock, Azure OpenAI, Anthropic
- Experience building RAG systems with vector databases (Pinecone, Weaviate, FAISS, OpenSearch)
- Familiarity with MCP (Model Context Protocol) for tool/service connectivity
- Understanding of agent patterns: ReAct, function calling, tool use, planning/decomposition, multi-agent orchestration
- Experience with CI/CD pipelines, Git, containerization (Docker/Kubernetes)
- Cloud platform experience: AWS (Bedrock, Lambda, SageMaker, DynamoDB) and/or Azure (OpenAI, Cognitive Services, Cosmos DB)
</x:v>
      </x:c>
      <x:c r="AC124" s="68" t="str">
        <x:v>Mid-Senior level</x:v>
      </x:c>
      <x:c r="AD124" s="68" t="str">
        <x:v>Full-time</x:v>
      </x:c>
      <x:c r="AE124" s="68" t="str">
        <x:v>Information Technology</x:v>
      </x:c>
      <x:c r="AF124" s="68" t="str">
        <x:v>IT Services and IT Consulting</x:v>
      </x:c>
      <x:c r="AG124" s="68" t="str">
        <x:v>https://www.linkedin.com/jobs/search/?position=1&amp;pageNum=0&amp;keywords=AI+Engineer&amp;location=United+States&amp;distance=0&amp;f_TPR=r604800</x:v>
      </x:c>
      <x:c r="AH124" s="68" t="str">
        <x:v>{'type': 'PostalAddress', 'streetAddress': ' 192 / 198 Vauxhall Bridge Road', 'addressLocality': 'London', 'postalCode': 'SW1V 1DX', 'addressCountry': 'GB'}</x:v>
      </x:c>
      <x:c r="AI124" s="68" t="str">
        <x:v>https://www.photon.com</x:v>
      </x:c>
      <x:c r="AJ124" s="68" t="str">
        <x:v>Photon, a global leader in AI and digital solutions, helps clients accelerate AI adoption and embrace #DHX</x:v>
      </x:c>
      <x:c r="AK124" s="68" t="str">
        <x:v>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x:v>
      </x:c>
      <x:c r="AL124" s="68" t="str">
        <x:v>5918.0</x:v>
      </x:c>
      <x:c r="AM124" s="68"/>
      <x:c r="AN124" s="68"/>
      <x:c r="AO124" s="68"/>
      <x:c r="AP124" s="68"/>
    </x:row>
    <x:row r="125" s="25" customFormat="1" ht="22" customHeight="1">
      <x:c r="A125" s="68" t="str">
        <x:v>4451466003</x:v>
      </x:c>
      <x:c r="B125" s="68" t="str">
        <x:v>Generative AI Engineer</x:v>
      </x:c>
      <x:c r="C125" s="68" t="str">
        <x:v>Covetus</x:v>
      </x:c>
      <x:c r="D125" s="68" t="str">
        <x:v>Irving, TX</x:v>
      </x:c>
      <x:c r="E125" s="68" t="str">
        <x:v>Applied</x:v>
      </x:c>
      <x:c r="F125" s="68" t="str">
        <x:v>linkedin</x:v>
      </x:c>
      <x:c r="G125" s="69"/>
      <x:c r="H125" s="85" t="str">
        <x:v>2026-08-10</x:v>
      </x:c>
      <x:c r="I125" s="85" t="str">
        <x:v>2026-08-12 13:18:49</x:v>
      </x:c>
      <x:c r="J125" s="68" t="str">
        <x:v>200</x:v>
      </x:c>
      <x:c r="K125" s="70"/>
      <x:c r="L125" s="86" t="n">
        <x:v>46247.3197375926</x:v>
      </x:c>
      <x:c r="M125" s="87" t="n">
        <x:v>46247.32252947917</x:v>
      </x:c>
      <x:c r="N125" s="71" t="n">
        <x:v>241.219</x:v>
      </x:c>
      <x:c r="O125" s="88" t="n">
        <x:v>23</x:v>
      </x:c>
      <x:c r="P125" s="89" t="n">
        <x:v>0.03116137</x:v>
      </x:c>
      <x:c r="Q125" s="89"/>
      <x:c r="R125" s="89"/>
      <x:c r="S125" s="73" t="str">
        <x:v>completed</x:v>
      </x:c>
      <x:c r="T125" s="68"/>
      <x:c r="U125" s="68" t="str">
        <x:v>https://www.linkedin.com/jobs/view/generative-ai-engineer-at-covetus-4451466003?position=51&amp;pageNum=0&amp;refId=7cQDupwnUIWTR2NYcM6GGg%3D%3D&amp;trackingId=MWJPAt8cJhnIrifS33WqIg%3D%3D</x:v>
      </x:c>
      <x:c r="V125" s="68" t="str">
        <x:v>MWJPAt8cJhnIrifS33WqIg==</x:v>
      </x:c>
      <x:c r="W125" s="68" t="str">
        <x:v>7cQDupwnUIWTR2NYcM6GGg==</x:v>
      </x:c>
      <x:c r="X125" s="68" t="str">
        <x:v>https://www.linkedin.com/company/covetus?trk=public_jobs_jserp-result_job-search-card-subtitle</x:v>
      </x:c>
      <x:c r="Y125" s="68" t="str">
        <x:v>https://media.licdn.com/dms/image/v2/C510BAQG79kL1Q5GjVA/company-logo_100_100/company-logo_100_100/0/1631378391271?e=2147483647&amp;v=beta&amp;t=E-EnPUpLfYcXieHPpdFzIYtw3w_-GJ0BZwrhDEtS5xM</x:v>
      </x:c>
      <x:c r="Z125" s="68"/>
      <x:c r="AA125" s="68" t="str">
        <x:v>&lt;p&gt;&lt;strong&gt;Title: Gen AI Engineer&lt;/strong&gt;&lt;/p&gt;&lt;p&gt;&lt;strong&gt;Location: Irving TX / Tampa FL &lt;/strong&gt;&lt;/p&gt;&lt;p&gt;&lt;strong&gt;Hiring Mode: Full Time &lt;/strong&gt;&lt;/p&gt;&lt;p&gt;&lt;br&gt;&lt;/p&gt;&lt;p&gt;Job Description&lt;/p&gt;&lt;p&gt;Must Have Technical/Functional Skills&lt;/p&gt;&lt;p&gt;- Strong hands-on Python knowledge&lt;/p&gt;&lt;p&gt;- Hands-on experience in developing API Development in Python using FastAPI/ Flask framework&lt;/p&gt;&lt;p&gt;- Working experience in Data Processing, AI enabled workflows using python&lt;/p&gt;&lt;p&gt;- Knowledge of LLM, Prompt Engineering, RAG Architecture, Agentic AI.&lt;/p&gt;&lt;p&gt;- Basic knowledge of Hybrid prompting technique&lt;/p&gt;&lt;p&gt;- Knowledge in Generative AI tools like LangChain, Hugging Face, Llama Index etc.&lt;/p&gt;&lt;p&gt;&lt;br&gt;&lt;/p&gt;&lt;p&gt;Good to have:&lt;/p&gt;&lt;p&gt;- Working experience with Gemini LLM&lt;/p&gt;&lt;p&gt;- Hands-on knowledge in machine learning frameworks like PyTorch, TensorFlow, Keras&lt;/p&gt;&lt;p&gt;- Hands-On knowledge on NLP&lt;/p&gt;&lt;p&gt;- Understanding of model deployment and containerization (Docker).&lt;/p&gt;&lt;p&gt;- Understanding of version control systems (Git).&lt;/p&gt;&lt;p&gt;- Awareness of AI compliance, data privacy, and responsible AI principles&lt;/p&gt;&lt;p&gt;Roles &amp;amp; Responsibilities&lt;/p&gt;&lt;p&gt;- AI workflow development&lt;/p&gt;&lt;p&gt;- Prompt engineering&lt;/p&gt;&lt;p&gt;- Deployment and maintenance of AI models across all environments including Production.&lt;/p&gt;&lt;p&gt;- Code review, testing and documentation&lt;/p&gt;&lt;p&gt;- Continuous learning in Generative AI related fields&lt;/p&gt;</x:v>
      </x:c>
      <x:c r="AB125" s="68" t="str">
        <x:v>
Title: Gen AI Engineer
Location: Irving TX / Tampa FL 
Hiring Mode: Full Time 
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&amp;amp; Responsibilities
- AI workflow development
- Prompt engineering
- Deployment and maintenance of AI models across all environments including Production.
- Code review, testing and documentation
- Continuous learning in Generative AI related fields</x:v>
      </x:c>
      <x:c r="AC125" s="68" t="str">
        <x:v>Mid-Senior level</x:v>
      </x:c>
      <x:c r="AD125" s="68" t="str">
        <x:v>Full-time</x:v>
      </x:c>
      <x:c r="AE125" s="68" t="str">
        <x:v>Information Technology</x:v>
      </x:c>
      <x:c r="AF125" s="68" t="str">
        <x:v>IT Services and IT Consulting</x:v>
      </x:c>
      <x:c r="AG125" s="68" t="str">
        <x:v>https://www.linkedin.com/jobs/search/?position=1&amp;pageNum=0&amp;keywords=AI+Engineer&amp;location=United+States&amp;distance=0&amp;f_TPR=r604800</x:v>
      </x:c>
      <x:c r="AH125" s="68" t="str">
        <x:v>{'type': 'PostalAddress', 'streetAddress': '4100 Spring Valley Road, Suite 935', 'addressLocality': 'Dallas', 'addressRegion': 'Texas', 'postalCode': '75224', 'addressCountry': 'US'}</x:v>
      </x:c>
      <x:c r="AI125" s="68" t="str">
        <x:v>https://www.covetus.com/</x:v>
      </x:c>
      <x:c r="AJ125" s="68" t="str">
        <x:v>The Soft Impact</x:v>
      </x:c>
      <x:c r="AK125" s="68" t="str">
        <x:v>Headquartered in Dallas, Tx, Covetus LLC is a trusted name in the IT services industry. Since our founding year 2005, we’ve been serving some of the best in Healthcare, Insurance, Automated Supervisory Management, Hospitality, and multiple other industries.
Our team of more than 300 qualified and skilled IT professionals actively works towards the development, implementation, and upgradation of the latest tools and technologies to drive your business growth and boost your brand image.
We have worked on and successfully delivered 1000+ projects spanning across a broad range of technology-based services, namely software development, website development, IT staffing, mobile application development, brand promotion, healthcare IT, Microsoft SharePoint, XML, and digital marketing.
As client satisfaction is of the utmost importance to us, we make sincere efforts to maintain the clarity, creativity, and consistency in our work with the key objective of offering the best to our clients. 
Catering to the customized needs of our 500+ esteemed clients in over 50 countries, we have been continually providing our clients truly functional and reliable services in the most cost-efficient manner,  thereby contributing to their better experience and trust in our services.</x:v>
      </x:c>
      <x:c r="AL125" s="68" t="str">
        <x:v>162.0</x:v>
      </x:c>
      <x:c r="AM125" s="68" t="str">
        <x:v>Lavesh Swami</x:v>
      </x:c>
      <x:c r="AN125" s="68" t="str">
        <x:v>Lead Talent Acquisition Specialist | IT &amp; Non-IT Hiring | End-to-End Workforce Solutions | Global Staffing</x:v>
      </x:c>
      <x:c r="AO125" s="68" t="str">
        <x:v>https://static.licdn.com/aero-v1/sc/h/9c8pery4andzj6ohjkjp54ma2</x:v>
      </x:c>
      <x:c r="AP125" s="68" t="str">
        <x:v>https://www.linkedin.com/in/lavesh-swami-95549a236</x:v>
      </x:c>
    </x:row>
    <x:row r="126" s="25" customFormat="1" ht="22" customHeight="1">
      <x:c r="A126" s="68" t="str">
        <x:v>4451822219</x:v>
      </x:c>
      <x:c r="B126" s="68" t="str">
        <x:v>AI Software Engineer III</x:v>
      </x:c>
      <x:c r="C126" s="68" t="str">
        <x:v>Boston Scientific</x:v>
      </x:c>
      <x:c r="D126" s="68" t="str">
        <x:v>Marlborough, MA</x:v>
      </x:c>
      <x:c r="E126" s="68" t="str">
        <x:v>Applied</x:v>
      </x:c>
      <x:c r="F126" s="68" t="str">
        <x:v>linkedin</x:v>
      </x:c>
      <x:c r="G126" s="69"/>
      <x:c r="H126" s="85" t="str">
        <x:v>2026-08-10</x:v>
      </x:c>
      <x:c r="I126" s="85" t="str">
        <x:v>2026-08-12 13:18:49</x:v>
      </x:c>
      <x:c r="J126" s="68" t="str">
        <x:v>200</x:v>
      </x:c>
      <x:c r="K126" s="70"/>
      <x:c r="L126" s="86" t="n">
        <x:v>46247.32647538195</x:v>
      </x:c>
      <x:c r="M126" s="87" t="n">
        <x:v>46247.34227697917</x:v>
      </x:c>
      <x:c r="N126" s="71" t="n">
        <x:v>1365.225</x:v>
      </x:c>
      <x:c r="O126" s="88" t="n">
        <x:v>75</x:v>
      </x:c>
      <x:c r="P126" s="89" t="n">
        <x:v>0.0724999</x:v>
      </x:c>
      <x:c r="Q126" s="89"/>
      <x:c r="R126" s="89"/>
      <x:c r="S126" s="73" t="str">
        <x:v>completed</x:v>
      </x:c>
      <x:c r="T126" s="68"/>
      <x:c r="U126" s="68" t="str">
        <x:v>https://www.linkedin.com/jobs/view/ai-software-engineer-iii-at-boston-scientific-4451822219?position=47&amp;pageNum=0&amp;refId=7cQDupwnUIWTR2NYcM6GGg%3D%3D&amp;trackingId=riNECOjdd3Xvxi5uzBPyKA%3D%3D</x:v>
      </x:c>
      <x:c r="V126" s="68" t="str">
        <x:v>riNECOjdd3Xvxi5uzBPyKA==</x:v>
      </x:c>
      <x:c r="W126" s="68" t="str">
        <x:v>7cQDupwnUIWTR2NYcM6GGg==</x:v>
      </x:c>
      <x:c r="X126" s="68" t="str">
        <x:v>https://www.linkedin.com/company/boston-scientific?trk=public_jobs_jserp-result_job-search-card-subtitle</x:v>
      </x:c>
      <x:c r="Y126" s="68" t="str">
        <x:v>https://media.licdn.com/dms/image/v2/D560BAQF3enIGxQaa7Q/company-logo_100_100/company-logo_100_100/0/1688306370403?e=2147483647&amp;v=beta&amp;t=dAzpxzE-s2FWleZH-fOTK9m3i77k87T7MqMnrPV5T18</x:v>
      </x:c>
      <x:c r="Z126" s="68"/>
      <x:c r="AA126" s="68" t="str">
        <x:v>&lt;strong&gt;Additional Location(s):&lt;/strong&gt; US-MN-Arden Hills&lt;br&gt;&lt;br&gt;&lt;strong&gt;Diversity - Innovation - Caring - Global Collaboration - Winning Spirit - High Performance&lt;br&gt;&lt;br&gt;&lt;/strong&gt;At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ambitions.&lt;br&gt;&lt;br&gt;&lt;strong&gt;About The Role&lt;br&gt;&lt;br&gt;&lt;/strong&gt;Boston Scientific was recognized by Forbes as one of the Best Workplaces for Engineers in 2026, reflecting a culture where engineers do meaningful work.&lt;br&gt;&lt;br&gt;Boston Scientific was recognized as a Glassdoor Best Place to Work in 2026, ranking No. 15 on the Top 100 list, reflecting the culture our employees experience every day.&lt;br&gt;&lt;br&gt;Boston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solutions.&lt;br&gt;&lt;br&gt;&lt;strong&gt;Work model, sponsorship, relocation:&lt;br&gt;&lt;br&gt;&lt;/strong&gt;At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time.&lt;br&gt;&lt;br&gt;&lt;strong&gt;Your Responsibilities Will Include&lt;br&gt;&lt;br&gt;&lt;/strong&gt;&lt;ul&gt;&lt;li&gt;Design modular and reusable AI components and services that can be leveraged across multiple platforms and business use cases.&lt;/li&gt;&lt;li&gt;Design end-to-end, multi-agent workflows with tool routing, human approvals, audit trails and safe action boundaries.&lt;/li&gt;&lt;li&gt;Design data architecture for operational AI systems, including ingestion, schemas, quality checks and governance.&lt;/li&gt;&lt;li&gt;Build evaluations, monitoring, metrics and regression tests for agentic workflows.&lt;/li&gt;&lt;li&gt;Ensure solutions are designed for performance, reliability, observability and operational excellence.&lt;/li&gt;&lt;li&gt;Contribute to a culture of ownership, experimentation and customer-centric product thinking.&lt;br&gt;&lt;br&gt;&lt;/li&gt;&lt;/ul&gt;&lt;strong&gt;Qualifications&lt;br&gt;&lt;br&gt;&lt;/strong&gt;&lt;strong&gt;Required qualifications:&lt;br&gt;&lt;br&gt;&lt;/strong&gt;&lt;ul&gt;&lt;li&gt;Bachelor’s or master’s degree in computer science, engineering, data science or a related technical field.&lt;/li&gt;&lt;li&gt;Proven experience designing and deploying large language model-based solutions, including retrieval-augmented generation, prompt engineering and model integration.&lt;/li&gt;&lt;li&gt;Experience creating human and automated evaluations to help ensure high AI model quality.&lt;/li&gt;&lt;li&gt;Deep experience with asynchronous processing and distributed task queues, such as Celery, Kafka, SQS, RabbitMQ or Redis.&lt;/li&gt;&lt;li&gt;Experience designing and building robust APIs.&lt;/li&gt;&lt;li&gt;Ability to operate with a high degree of autonomy, navigate ambiguity and thrive in a fast-moving, startup-like environment.&lt;/li&gt;&lt;li&gt;Demonstrated curiosity and commitment to learning and staying current in the rapidly evolving AI field.&lt;/li&gt;&lt;li&gt;Strong understanding of cloud-native architectures in Azure and/or AWS and modern data platforms.&lt;br&gt;&lt;br&gt;&lt;/li&gt;&lt;/ul&gt;&lt;strong&gt;Preferred Qualifications&lt;br&gt;&lt;br&gt;&lt;/strong&gt;&lt;ul&gt;&lt;li&gt;Proven experience with agentic AI frameworks such as LangGraph, Semantic Kernel, AutoGen, CrewAI or similar technologies.&lt;/li&gt;&lt;li&gt;Familiarity with vector databases, embedding strategies and search optimization techniques.&lt;/li&gt;&lt;li&gt;Hands-on experience with MLOps/LLMOps, including model monitoring, evaluation and lifecycle management.&lt;/li&gt;&lt;li&gt;Proven experience defining reference architectures, design patterns and reusable AI platforms.&lt;br&gt;&lt;br&gt;&lt;/li&gt;&lt;/ul&gt;&lt;strong&gt;Requisition ID: 632012&lt;br&gt;&lt;br&gt;&lt;/strong&gt;&lt;strong&gt;Minimum Salary: $&lt;strong&gt;&lt;strong&gt;&lt;strong&gt;82100&lt;/strong&gt;&lt;/strong&gt;&lt;/strong&gt; &lt;br&gt;&lt;br&gt;&lt;/strong&gt;&lt;strong&gt;Maximum Salary: $&lt;strong&gt;&lt;strong&gt;&lt;strong&gt;156000&lt;/strong&gt;&lt;/strong&gt;&lt;/strong&gt; &lt;br&gt;&lt;br&gt;&lt;/strong&gt;The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&lt;strong&gt;At BSC, it is not typical for an individual to be hired near the bottom or top of the anticipated salary range listed above.&lt;br&gt;&lt;br&gt;&lt;/strong&gt;Compensation for &lt;strong&gt;non-exempt (hourly), non-sales roles&lt;/strong&gt; may also include variable compensation from time to time (e.g., any overtime and shift differential) and annual bonus target (subject to plan eligibility and other requirements).&lt;br&gt;&lt;br&gt;Compensation for &lt;strong&gt;exempt, non-sales roles&lt;/strong&gt; may also include variable compensation, i.e., annual bonus target and long-term incentives (subject to plan eligibility and other requirements).&lt;br&gt;&lt;br&gt;&lt;strong&gt;For MA positions:&lt;/strong&gt; It is unlawful to require or administer a lie detector test for employment. Violators are subject to criminal penalties and civil liability.&lt;br&gt;&lt;br&gt;Boston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LinkedIn.&lt;br&gt;&lt;br&gt;Boston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class.&lt;br&gt;&lt;br&gt;Please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x:v>
      </x:c>
      <x:c r="AB126" s="68" t="str">
        <x:v>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by Forbes as one of the Best Workplaces for Engineers in 2026, reflecting a culture where engineers do meaningful work.
Boston Scientific was recognized as a Glassdoor Best Place to Work in 2026, ranking No. 15 on the Top 100 list, reflecting the culture our employees experience every day.
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Design modular and reusable AI components and services that can be leveraged across multiple platforms and business use cases.
- Design end-to-end, multi-agent workflows with tool routing, human approvals, audit trails and safe action boundaries.
- Design data architecture for operational AI systems, including ingestion, schemas, quality checks and governance.
- Build evaluations, monitoring, metrics and regression tests for agentic workflows.
- Ensure solutions are designed for performance, reliability, observability and operational excellence.
- Contribute to a culture of ownership, experimentation and customer-centric product thinking.
Qualifications
Required qualifications:
- Bachelor’s or master’s degree in computer science, engineering, data science or a related technical field.
- Proven experience designing and deploying large language model-based solutions, including retrieval-augmented generation, prompt engineering and model integration.
- Experience creating human and automated evaluations to help ensure high AI model quality.
- Deep experience with asynchronous processing and distributed task queues, such as Celery, Kafka, SQS, RabbitMQ or Redis.
- Experience designing and building robust APIs.
- Ability to operate with a high degree of autonomy, navigate ambiguity and thrive in a fast-moving, startup-like environment.
- Demonstrated curiosity and commitment to learning and staying current in the rapidly evolving AI field.
- Strong understanding of cloud-native architectures in Azure and/or AWS and modern data platforms.
Preferred Qualifications
- Proven experience with agentic AI frameworks such as LangGraph, Semantic Kernel, AutoGen, CrewAI or similar technologies.
- Familiarity with vector databases, embedding strategies and search optimization techniques.
- Hands-on experience with MLOps/LLMOps, including model monitoring, evaluation and lifecycle management.
- Proven experience defining reference architectures, design patterns and reusable AI platforms.
Requisition ID: 632012
Minimum Salary: $82100 
Maximum Salary: $156000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x:v>
      </x:c>
      <x:c r="AC126" s="68" t="str">
        <x:v>Not Applicable</x:v>
      </x:c>
      <x:c r="AD126" s="68" t="str">
        <x:v>Full-time</x:v>
      </x:c>
      <x:c r="AE126" s="68" t="str">
        <x:v>Other</x:v>
      </x:c>
      <x:c r="AF126" s="68" t="str">
        <x:v>Medical Equipment Manufacturing</x:v>
      </x:c>
      <x:c r="AG126" s="68" t="str">
        <x:v>https://www.linkedin.com/jobs/search/?position=1&amp;pageNum=0&amp;keywords=AI+Engineer&amp;location=United+States&amp;distance=0&amp;f_TPR=r604800</x:v>
      </x:c>
      <x:c r="AH126" s="68" t="str">
        <x:v>{'type': 'PostalAddress', 'streetAddress': '100 Boston Scientific Way', 'addressLocality': 'Marlborough', 'addressRegion': 'MA', 'postalCode': '01752', 'addressCountry': 'US'}</x:v>
      </x:c>
      <x:c r="AI126" s="68" t="str">
        <x:v>http://www.bostonscientific.com</x:v>
      </x:c>
      <x:c r="AJ126" s="68"/>
      <x:c r="AK126" s="68" t="str">
        <x:v>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 </x:v>
      </x:c>
      <x:c r="AL126" s="68" t="str">
        <x:v>55115.0</x:v>
      </x:c>
      <x:c r="AM126" s="68"/>
      <x:c r="AN126" s="68"/>
      <x:c r="AO126" s="68"/>
      <x:c r="AP126" s="68"/>
    </x:row>
    <x:row r="127" s="25" customFormat="1" ht="22" customHeight="1">
      <x:c r="A127" s="68" t="str">
        <x:v>4448464766</x:v>
      </x:c>
      <x:c r="B127" s="68" t="str">
        <x:v>Machine Learning Engineer</x:v>
      </x:c>
      <x:c r="C127" s="68" t="str">
        <x:v>Revenue Management Solutions</x:v>
      </x:c>
      <x:c r="D127" s="68" t="str">
        <x:v>Tampa, FL</x:v>
      </x:c>
      <x:c r="E127" s="68" t="str">
        <x:v>Requires CAPTCHA</x:v>
      </x:c>
      <x:c r="F127" s="68" t="str">
        <x:v>linkedin</x:v>
      </x:c>
      <x:c r="G127" s="69"/>
      <x:c r="H127" s="85" t="str">
        <x:v>2026-08-06</x:v>
      </x:c>
      <x:c r="I127" s="85" t="str">
        <x:v>2026-08-12 13:18:49</x:v>
      </x:c>
      <x:c r="J127" s="68" t="str">
        <x:v>200</x:v>
      </x:c>
      <x:c r="K127" s="70"/>
      <x:c r="L127" s="86" t="n">
        <x:v>46247.36377134259</x:v>
      </x:c>
      <x:c r="M127" s="87" t="n">
        <x:v>46247.37748431713</x:v>
      </x:c>
      <x:c r="N127" s="71" t="n">
        <x:v>1184.768</x:v>
      </x:c>
      <x:c r="O127" s="88" t="n">
        <x:v>74</x:v>
      </x:c>
      <x:c r="P127" s="89" t="n">
        <x:v>0.09625052</x:v>
      </x:c>
      <x:c r="Q127" s="89"/>
      <x:c r="R127" s="89"/>
      <x:c r="S127" s="73" t="str">
        <x:v>completed</x:v>
      </x:c>
      <x:c r="T127" s="68"/>
      <x:c r="U127" s="68" t="str">
        <x:v>https://www.linkedin.com/jobs/view/machine-learning-engineer-at-revenue-management-solutions-4448464766?position=49&amp;pageNum=0&amp;refId=7cQDupwnUIWTR2NYcM6GGg%3D%3D&amp;trackingId=3t5%2Fb3jobkAJZYdSvo%2BT7g%3D%3D</x:v>
      </x:c>
      <x:c r="V127" s="68" t="str">
        <x:v>3t5/b3jobkAJZYdSvo+T7g==</x:v>
      </x:c>
      <x:c r="W127" s="68" t="str">
        <x:v>7cQDupwnUIWTR2NYcM6GGg==</x:v>
      </x:c>
      <x:c r="X127" s="68" t="str">
        <x:v>https://www.linkedin.com/company/revenue-management-solutions?trk=public_jobs_jserp-result_job-search-card-subtitle</x:v>
      </x:c>
      <x:c r="Y127" s="68" t="str">
        <x:v>https://media.licdn.com/dms/image/v2/C560BAQHJlr_vuJnzTg/company-logo_100_100/company-logo_100_100/0/1656681265332/revenue_management_solutions_logo?e=2147483647&amp;v=beta&amp;t=tXj06pE2JUJdYYpyYD2UnSEgppu0zjNEVsZ2PS3HV0g</x:v>
      </x:c>
      <x:c r="Z127" s="68"/>
      <x:c r="AA127" s="68" t="str">
        <x:v>&lt;strong&gt;Description&lt;br&gt;&lt;br&gt;&lt;/strong&gt;&lt;strong&gt;THE OPPORTUNITY&lt;br&gt;&lt;br&gt;&lt;/strong&gt;As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desired.&lt;br&gt;&lt;br&gt;&lt;strong&gt;RIGHT TO WORK&lt;br&gt;&lt;br&gt;&lt;/strong&gt;Candidates must have the legal right to work in the country the position is based. The employer does not provide sponsorship for work authorization for this role.&lt;br&gt;&lt;br&gt;&lt;strong&gt;Who You’ll Work With&lt;br&gt;&lt;br&gt;&lt;/strong&gt;You’ll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week.&lt;br&gt;&lt;br&gt;&lt;strong&gt;What You’ll Do&lt;br&gt;&lt;br&gt;&lt;/strong&gt;&lt;ul&gt;&lt;li&gt;Monitor model performance both pre- and post-deployment&lt;/li&gt;&lt;li&gt;Develop pipelines to collect, transform, and aggregate data&lt;/li&gt;&lt;li&gt;Work with CI/CD pipelines to create and deploy artifacts&lt;/li&gt;&lt;li&gt;Refactor code to perform efficiently in scaled environments&lt;/li&gt;&lt;li&gt;Creatively design solutions to analytical problems using quantitative and qualitative approaches to drive high-end business value&lt;/li&gt;&lt;li&gt;Develop and maintain documentation articulating methodology and architecture, as well as data dictionaries&lt;/li&gt;&lt;li&gt;Effectively and concisely articulate processes to internal parties&lt;br&gt;&lt;br&gt;&lt;/li&gt;&lt;/ul&gt;&lt;strong&gt;Skills And Qualifications&lt;br&gt;&lt;br&gt;&lt;/strong&gt;&lt;ul&gt;&lt;li&gt;Strong knowledge with Python, including experience building custom packages&lt;/li&gt;&lt;li&gt;Experience with Scala or Spark will be considered an asset&lt;/li&gt;&lt;li&gt;Some cloud-based experience; Azure preferred&lt;/li&gt;&lt;li&gt;Ability to manage multiple projects independently&lt;/li&gt;&lt;li&gt;Working knowledge of statistics, machine learning and deep-learning algorithms&lt;/li&gt;&lt;li&gt;2+ Years Experience&lt;/li&gt;&lt;li&gt;Bachelor’s degree in Mathematics, Statistics, Engineering, Computer Science, or a field with a quantitative and technical emphasis required&lt;br&gt;&lt;br&gt;&lt;/li&gt;&lt;/ul&gt;&lt;strong&gt;Preferred&lt;br&gt;&lt;br&gt;&lt;/strong&gt;&lt;ul&gt;&lt;li&gt;Graduate degree, or supplementary courses in Data Science, Data Engineering or Machine Learning&lt;br&gt;&lt;br&gt;&lt;/li&gt;&lt;/ul&gt;&lt;strong&gt;Benefits&lt;br&gt;&lt;br&gt;&lt;/strong&gt;as a full-time RMS Employee, you will be eligible for:&lt;br&gt;&lt;br&gt;&lt;ul&gt;&lt;li&gt;100% employer paid HSA medical insurance, or 80% employer paid medical insurance for HMO and PPO plans for employees and qualifying dependents&lt;/li&gt;&lt;li&gt;Dental and vision insurance (80% employer paid)&lt;/li&gt;&lt;li&gt;Basic Life and AD&amp;amp;D insurance (100% employer paid)&lt;/li&gt;&lt;li&gt;Telemedicine (100% employer paid)&lt;/li&gt;&lt;li&gt;401k plan with company matching contribution of 4% of annual gross salary with immediate vesting&lt;/li&gt;&lt;li&gt; Tuition assistance is available to support continuous education efforts&lt;/li&gt;&lt;li&gt;15 business days paid vacation for the first year based on your hire date (pro rata), 15 days thereafter; 20 days after two years, and 25 days after ten years&lt;/li&gt;&lt;li&gt;Eight paid holidays + 1 personal floating holiday&lt;/li&gt;&lt;li&gt;Paid parking and health club membership&lt;/li&gt;&lt;li&gt;Paid parental leave&lt;br&gt;&lt;br&gt;&lt;/li&gt;&lt;/ul&gt;&lt;strong&gt;Who We Are&lt;br&gt;&lt;br&gt;&lt;/strong&gt;Now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revenuemanage.com.&lt;br&gt;&lt;br&gt;&lt;strong&gt;What We Believe&lt;br&gt;&lt;br&gt;&lt;/strong&gt;Our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x:v>
      </x:c>
      <x:c r="AB127" s="68" t="str">
        <x:v>Description
THE OPPORTUNITY
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
RIGHT TO WORK
Candidates must have the legal right to work in the country the position is based. The employer does not provide sponsorship for work authorization for this role.
Who You’ll Work With
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
What You’ll Do
- Monitor model performance both pre- and post-deployment
- Develop pipelines to collect, transform, and aggregate data
- Work with CI/CD pipelines to create and deploy artifacts
- Refactor code to perform efficiently in scaled environments
- Creatively design solutions to analytical problems using quantitative and qualitative approaches to drive high-end business value
- Develop and maintain documentation articulating methodology and architecture, as well as data dictionaries
- Effectively and concisely articulate processes to internal parties
Skills And Qualifications
- Strong knowledge with Python, including experience building custom packages
- Experience with Scala or Spark will be considered an asset
- Some cloud-based experience; Azure preferred
- Ability to manage multiple projects independently
- Working knowledge of statistics, machine learning and deep-learning algorithms
- 2+ Years Experience
- Bachelor’s degree in Mathematics, Statistics, Engineering, Computer Science, or a field with a quantitative and technical emphasis required
Preferred
- Graduate degree, or supplementary courses in Data Science, Data Engineering or Machine Learning
Benefits
as a full-time RMS Employee, you will be eligible for:
- 100% employer paid HSA medical insurance, or 80% employer paid medical insurance for HMO and PPO plans for employees and qualifying dependents
- Dental and vision insurance (80% employer paid)
- Basic Life and AD&amp;amp;D insurance (100% employer paid)
- Telemedicine (100% employer paid)
- 401k plan with company matching contribution of 4% of annual gross salary with immediate vesting
-  Tuition assistance is available to support continuous education efforts
- 15 business days paid vacation for the first year based on your hire date (pro rata), 15 days thereafter; 20 days after two years, and 25 days after ten years
- Eight paid holidays + 1 personal floating holiday
- Paid parking and health club membership
- Paid parental leave
Who We Are
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
What We Believe
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x:v>
      </x:c>
      <x:c r="AC127" s="68" t="str">
        <x:v>Not Applicable</x:v>
      </x:c>
      <x:c r="AD127" s="68" t="str">
        <x:v>Full-time</x:v>
      </x:c>
      <x:c r="AE127" s="68" t="str">
        <x:v>Engineering and Information Technology</x:v>
      </x:c>
      <x:c r="AF127" s="68" t="str">
        <x:v>Software Development</x:v>
      </x:c>
      <x:c r="AG127" s="68" t="str">
        <x:v>https://www.linkedin.com/jobs/search/?position=1&amp;pageNum=0&amp;keywords=AI+Engineer&amp;location=United+States&amp;distance=0&amp;f_TPR=r604800</x:v>
      </x:c>
      <x:c r="AH127" s="68" t="str">
        <x:v>{'type': 'PostalAddress', 'streetAddress': '777 S. Harbour Island Blvd.', 'addressLocality': 'Tampa', 'addressRegion': 'FL', 'postalCode': '33602', 'addressCountry': 'US'}</x:v>
      </x:c>
      <x:c r="AI127" s="68" t="str">
        <x:v>https://www.revenuemanage.com</x:v>
      </x:c>
      <x:c r="AJ127" s="68"/>
      <x:c r="AK127" s="68" t="str">
        <x:v>Revenue Management Solutions (RMS) partners with global restaurant brands to deliver actionable insights and data-driven solutions that boost sales, improve unit economics and maximize profitability. 
With AI-powered solutions supporting over 150,000 locations worldwide, RMS helps brands navigate challenges such as inflation and rising labor costs with clarity and confidence. 
Discover how RMS can turn your data into a competitive advantage at www.revenuemanage.com.</x:v>
      </x:c>
      <x:c r="AL127" s="68" t="str">
        <x:v>229.0</x:v>
      </x:c>
      <x:c r="AM127" s="68"/>
      <x:c r="AN127" s="68"/>
      <x:c r="AO127" s="68"/>
      <x:c r="AP127" s="68"/>
    </x:row>
    <x:row r="128" s="25" customFormat="1" ht="22" customHeight="1">
      <x:c r="A128" s="68" t="str">
        <x:v>4449209425</x:v>
      </x:c>
      <x:c r="B128" s="68" t="str">
        <x:v>Artificial Intelligence Engineer</x:v>
      </x:c>
      <x:c r="C128" s="68" t="str">
        <x:v>The Phoenix Group</x:v>
      </x:c>
      <x:c r="D128" s="68" t="str">
        <x:v>New York City Metropolitan Area</x:v>
      </x:c>
      <x:c r="E128" s="68" t="str">
        <x:v>Not Applied</x:v>
      </x:c>
      <x:c r="F128" s="68"/>
      <x:c r="G128" s="69"/>
      <x:c r="H128" s="85" t="str">
        <x:v>2026-08-07</x:v>
      </x:c>
      <x:c r="I128" s="85" t="str">
        <x:v>2026-08-12 13:18:49</x:v>
      </x:c>
      <x:c r="J128" s="68" t="str">
        <x:v>190</x:v>
      </x:c>
      <x:c r="K128" s="70" t="str">
        <x:v>$135,000.00/yr - $180,000.00/yr</x:v>
      </x:c>
      <x:c r="L128" s="86"/>
      <x:c r="M128" s="87"/>
      <x:c r="N128" s="71"/>
      <x:c r="O128" s="88"/>
      <x:c r="P128" s="89"/>
      <x:c r="Q128" s="89"/>
      <x:c r="R128" s="89"/>
      <x:c r="S128" s="73"/>
      <x:c r="T128" s="68"/>
      <x:c r="U128" s="68" t="str">
        <x:v>https://www.linkedin.com/jobs/view/artificial-intelligence-engineer-at-the-phoenix-group-4449209425?position=48&amp;pageNum=0&amp;refId=7cQDupwnUIWTR2NYcM6GGg%3D%3D&amp;trackingId=OEBFxtXMf5WaADbY2b17PA%3D%3D</x:v>
      </x:c>
      <x:c r="V128" s="68" t="str">
        <x:v>OEBFxtXMf5WaADbY2b17PA==</x:v>
      </x:c>
      <x:c r="W128" s="68" t="str">
        <x:v>7cQDupwnUIWTR2NYcM6GGg==</x:v>
      </x:c>
      <x:c r="X128" s="68" t="str">
        <x:v>https://www.linkedin.com/company/the-phoenix-group_3?trk=public_jobs_jserp-result_job-search-card-subtitle</x:v>
      </x:c>
      <x:c r="Y128" s="68" t="str">
        <x:v>https://media.licdn.com/dms/image/v2/D4E0BAQECfW-4ZnNpsw/company-logo_100_100/company-logo_100_100/0/1720916983711/the_phoenix_group_3_logo?e=2147483647&amp;v=beta&amp;t=KyhR2PVSAvCNQV4WZX2c1ikgggV-ICxFvmqnYdQ01MI</x:v>
      </x:c>
      <x:c r="Z128" s="68"/>
      <x:c r="AA128" s="68" t="str">
        <x:v>&lt;p&gt;&lt;strong&gt;AI Engineer / AI Architect (Python) &lt;/strong&gt;&lt;/p&gt;&lt;p&gt;A premier global law firm is seeking an experienced &lt;strong&gt;AI Engineer / AI Architect&lt;/strong&gt; to join its Information Services team and help design, build, and integrate AI-powered solutions across the firm's Finance, HR, and IT organizations.&lt;/p&gt;&lt;p&gt;This is a hands-on engineering role focused on architecting intelligent systems, integrating large language models into existing enterprise applications, and helping shape the firm's AI strategy. The ideal candidate has a strong &lt;strong&gt;Python&lt;/strong&gt; background and experience building production AI solutions.&lt;/p&gt;&lt;p&gt;&lt;br&gt;&lt;/p&gt;&lt;p&gt;&lt;strong&gt;This is a hybrid position based in New York City, requiring 3 days per week onsite.&lt;/strong&gt;&lt;/p&gt;&lt;p&gt;&lt;br&gt;&lt;/p&gt;&lt;p&gt;&lt;strong&gt;Role Overview&lt;/strong&gt;&lt;/p&gt;&lt;p&gt;This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applications.&lt;/p&gt;&lt;p&gt;&lt;strong&gt;Key Responsibilities&lt;/strong&gt;&lt;/p&gt;&lt;ul&gt;&lt;li&gt;Design and develop AI-powered applications and services using &lt;strong&gt;Python&lt;/strong&gt;.&lt;/li&gt;&lt;li&gt;Architect and integrate AI capabilities into existing enterprise applications and business systems.&lt;/li&gt;&lt;li&gt;Build production-ready solutions utilizing &lt;strong&gt;OpenAI APIs&lt;/strong&gt; and internally hosted LLMs.&lt;/li&gt;&lt;li&gt;Develop AI agents, custom workflows, and intelligent automation solutions.&lt;/li&gt;&lt;li&gt;Design and implement custom &lt;strong&gt;MCP servers&lt;/strong&gt; and AI integrations.&lt;/li&gt;&lt;li&gt;Work with locally hosted inference platforms including &lt;strong&gt;Ollama&lt;/strong&gt;, &lt;strong&gt;Hugging Face&lt;/strong&gt;, &lt;strong&gt;vLLM&lt;/strong&gt;, or similar technologies.&lt;/li&gt;&lt;li&gt;Optimize inference performance through model selection, parameter tuning, context window management, and benchmarking.&lt;/li&gt;&lt;li&gt;Design evaluation pipelines to measure AI application performance and quality.&lt;/li&gt;&lt;li&gt;Collaborate with business stakeholders across Finance, HR, and IT to identify opportunities for AI adoption.&lt;/li&gt;&lt;li&gt;Evaluate emerging AI technologies and recommend new solutions that improve business processes.&lt;/li&gt;&lt;/ul&gt;&lt;p&gt;&lt;strong&gt;Required Qualifications&lt;/strong&gt;&lt;/p&gt;&lt;ul&gt;&lt;li&gt;Strong professional experience developing software with &lt;strong&gt;Python&lt;/strong&gt;.&lt;/li&gt;&lt;li&gt;Experience building and deploying production AI applications.&lt;/li&gt;&lt;li&gt;Hands-on experience with &lt;strong&gt;OpenAI APIs&lt;/strong&gt;.&lt;/li&gt;&lt;li&gt;Experience integrating AI capabilities into existing enterprise applications.&lt;/li&gt;&lt;li&gt;Experience building &lt;strong&gt;AI Agents&lt;/strong&gt;, &lt;strong&gt;Skills&lt;/strong&gt;, and &lt;strong&gt;custom MCP servers&lt;/strong&gt;.&lt;/li&gt;&lt;li&gt;Experience working with locally hosted LLMs including &lt;strong&gt;Ollama&lt;/strong&gt;, &lt;strong&gt;Hugging Face&lt;/strong&gt;, &lt;strong&gt;vLLM&lt;/strong&gt;, or similar inference platforms.&lt;/li&gt;&lt;li&gt;Experience designing AI system architecture and enterprise AI solutions.&lt;/li&gt;&lt;li&gt;Strong understanding of prompt engineering, model evaluation, and production AI deployment.&lt;/li&gt;&lt;li&gt;Experience with &lt;strong&gt;Azure&lt;/strong&gt; and cloud-based AI services.&lt;/li&gt;&lt;li&gt;Excellent communication skills with the ability to work directly with technical and business stakeholders.&lt;/li&gt;&lt;/ul&gt;&lt;p&gt;&lt;strong&gt;Preferred Qualifications&lt;/strong&gt;&lt;/p&gt;&lt;ul&gt;&lt;li&gt;Experience modernizing existing enterprise applications through AI integration.&lt;/li&gt;&lt;li&gt;Experience supporting on-premises AI infrastructure.&lt;/li&gt;&lt;li&gt;Experience with Microsoft Entra ID authentication.&lt;/li&gt;&lt;li&gt;Azure DevOps, PowerShell, SharePoint, Salesforce, iManage Cloud API, Aderant, or Workday experience is a plus.&lt;/li&gt;&lt;li&gt;Experience within a legal or professional services environment.&lt;/li&gt;&lt;/ul&gt;&lt;p&gt;&lt;br&gt;&lt;/p&gt;&lt;p&gt;&lt;strong&gt;Core Technologies&lt;/strong&gt;&lt;/p&gt;&lt;p&gt;&lt;strong&gt;Languages:&lt;/strong&gt; Python&lt;/p&gt;&lt;p&gt;&lt;strong&gt;AI &amp;amp; LLMs:&lt;/strong&gt; OpenAI API, Ollama, Hugging Face, vLLM, AI Agents, Skills, MCP Servers, Prompt Engineering&lt;/p&gt;&lt;p&gt;&lt;strong&gt;Cloud:&lt;/strong&gt; Microsoft Azure&lt;/p&gt;&lt;p&gt;&lt;strong&gt;Architecture:&lt;/strong&gt; Enterprise AI Integration, AI System Design, Intelligent Automation, AI Evaluation Pipelines&lt;/p&gt;&lt;p&gt;&lt;br&gt;&lt;/p&gt;&lt;p&gt;This is an excellent opportunity for an engineer who enjoys designing enterprise AI solutions and integrating large language models into real-world business applications.&lt;/p&gt;</x:v>
      </x:c>
      <x:c r="AB128" s="68" t="str">
        <x:v>
AI Engineer / AI Architect (Python) 
A premier global law firm is seeking an experienced AI Engineer / AI Architect to join its Information Services team and help design, build, and integrate AI-powered solutions across the firm's Finance, HR, and IT organizations.
This is a hands-on engineering role focused on architecting intelligent systems, integrating large language models into existing enterprise applications, and helping shape the firm's AI strategy. The ideal candidate has a strong Python background and experience building production AI solutions.
This is a hybrid position based in New York City, requiring 3 days per week onsite.
Role Overview
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
Key Responsibilities
- Design and develop AI-powered applications and services using Python.
- Architect and integrate AI capabilities into existing enterprise applications and business systems.
- Build production-ready solutions utilizing OpenAI APIs and internally hosted LLMs.
- Develop AI agents, custom workflows, and intelligent automation solutions.
- Design and implement custom MCP servers and AI integrations.
- Work with locally hosted inference platforms including Ollama, Hugging Face, vLLM, or similar technologies.
- Optimize inference performance through model selection, parameter tuning, context window management, and benchmarking.
- Design evaluation pipelines to measure AI application performance and quality.
- Collaborate with business stakeholders across Finance, HR, and IT to identify opportunities for AI adoption.
- Evaluate emerging AI technologies and recommend new solutions that improve business processes.
Required Qualifications
- Strong professional experience developing software with Python.
- Experience building and deploying production AI applications.
- Hands-on experience with OpenAI APIs.
- Experience integrating AI capabilities into existing enterprise applications.
- Experience building AI Agents, Skills, and custom MCP servers.
- Experience working with locally hosted LLMs including Ollama, Hugging Face, vLLM, or similar inference platforms.
- Experience designing AI system architecture and enterprise AI solutions.
- Strong understanding of prompt engineering, model evaluation, and production AI deployment.
- Experience with Azure and cloud-based AI services.
- Excellent communication skills with the ability to work directly with technical and business stakeholders.
Preferred Qualifications
- Experience modernizing existing enterprise applications through AI integration.
- Experience supporting on-premises AI infrastructure.
- Experience with Microsoft Entra ID authentication.
- Azure DevOps, PowerShell, SharePoint, Salesforce, iManage Cloud API, Aderant, or Workday experience is a plus.
- Experience within a legal or professional services environment.
Core Technologies
Languages: Python
AI &amp;amp; LLMs: OpenAI API, Ollama, Hugging Face, vLLM, AI Agents, Skills, MCP Servers, Prompt Engineering
Cloud: Microsoft Azure
Architecture: Enterprise AI Integration, AI System Design, Intelligent Automation, AI Evaluation Pipelines
This is an excellent opportunity for an engineer who enjoys designing enterprise AI solutions and integrating large language models into real-world business applications.</x:v>
      </x:c>
      <x:c r="AC128" s="68" t="str">
        <x:v>Mid-Senior level</x:v>
      </x:c>
      <x:c r="AD128" s="68" t="str">
        <x:v>Full-time</x:v>
      </x:c>
      <x:c r="AE128" s="68" t="str">
        <x:v>Engineering and Information Technology</x:v>
      </x:c>
      <x:c r="AF128" s="68" t="str">
        <x:v>Law Practice</x:v>
      </x:c>
      <x:c r="AG128" s="68" t="str">
        <x:v>https://www.linkedin.com/jobs/search/?position=1&amp;pageNum=0&amp;keywords=AI+Engineer&amp;location=United+States&amp;distance=0&amp;f_TPR=r604800</x:v>
      </x:c>
      <x:c r="AH128" s="68" t="str">
        <x:v>{'type': 'PostalAddress', 'streetAddress': '370 Lexington Avenue Suite 205', 'addressLocality': 'New York', 'addressRegion': 'NY', 'postalCode': '10017', 'addressCountry': 'US'}</x:v>
      </x:c>
      <x:c r="AI128" s="68" t="str">
        <x:v>http://www.tpgnyc.com</x:v>
      </x:c>
      <x:c r="AJ128" s="68" t="str">
        <x:v>Rise to Success – Strategic Staffing that Delivers Results</x:v>
      </x:c>
      <x:c r="AK128" s="68" t="str">
        <x:v>2025 Best of Staffing® Client Winner • 4.8/5 Client Rating (n=73)
Staffing Solutions in Technology, Finance, Legal, and Accounting
Serving Fortune 100 to High-Growth Firms Across the Globe
Personalized Service Backed by Measurable Results
The Phoenix Group is an award-winning staffing and solutions firm known for delivering high-quality talent with speed, precision, and service excellence. Our flexible approach adapts to any business cycle and helps clients increase productivity while staying focused on their core business.
From global enterprises to mission-driven nonprofits, we serve a diverse client base with tailored staffing and IT outsourcing solutions. Whether you need to scale your team or fully outsource support, we are ready to help you Rise to Success.</x:v>
      </x:c>
      <x:c r="AL128" s="68" t="str">
        <x:v>409.0</x:v>
      </x:c>
      <x:c r="AM128" s="68" t="str">
        <x:v>Julia Rasa</x:v>
      </x:c>
      <x:c r="AN128" s="68" t="str">
        <x:v>Associate Information Technology Recruiter, The Phoenix Group</x:v>
      </x:c>
      <x:c r="AO128" s="68" t="str">
        <x:v>https://media.licdn.com/dms/image/v2/D4E03AQFPugK8RJAk7Q/profile-displayphoto-scale_400_400/B4EZ.BQ5StK4Ak-/0/1784580120407?e=2147483647&amp;v=beta&amp;t=Gavagp_7ib2m0lOWldlFsw2oL_M9rOxvcYPdlzP3gKA</x:v>
      </x:c>
      <x:c r="AP128" s="68" t="str">
        <x:v>https://www.linkedin.com/in/julia-rasa</x:v>
      </x:c>
    </x:row>
    <x:row r="129" s="25" customFormat="1" ht="22" customHeight="1">
      <x:c r="A129" s="68" t="str">
        <x:v>4337701917</x:v>
      </x:c>
      <x:c r="B129" s="68" t="str">
        <x:v>AI Engineer</x:v>
      </x:c>
      <x:c r="C129" s="68" t="str">
        <x:v>Prestige Staffing</x:v>
      </x:c>
      <x:c r="D129" s="68" t="str">
        <x:v>Atlanta, GA</x:v>
      </x:c>
      <x:c r="E129" s="68" t="str">
        <x:v>Not Applied</x:v>
      </x:c>
      <x:c r="F129" s="68"/>
      <x:c r="G129" s="69"/>
      <x:c r="H129" s="85" t="str">
        <x:v>2026-08-07</x:v>
      </x:c>
      <x:c r="I129" s="85" t="str">
        <x:v>2026-08-12 13:18:49</x:v>
      </x:c>
      <x:c r="J129" s="68" t="str">
        <x:v>141</x:v>
      </x:c>
      <x:c r="K129" s="70"/>
      <x:c r="L129" s="86"/>
      <x:c r="M129" s="87"/>
      <x:c r="N129" s="71"/>
      <x:c r="O129" s="88"/>
      <x:c r="P129" s="89"/>
      <x:c r="Q129" s="89"/>
      <x:c r="R129" s="89"/>
      <x:c r="S129" s="73"/>
      <x:c r="T129" s="68"/>
      <x:c r="U129" s="68" t="str">
        <x:v>https://www.linkedin.com/jobs/view/ai-engineer-at-prestige-staffing-4337701917?position=45&amp;pageNum=0&amp;refId=7cQDupwnUIWTR2NYcM6GGg%3D%3D&amp;trackingId=qVXj%2FJcwED5AFufZfSPEgw%3D%3D</x:v>
      </x:c>
      <x:c r="V129" s="68" t="str">
        <x:v>qVXj/JcwED5AFufZfSPEgw==</x:v>
      </x:c>
      <x:c r="W129" s="68" t="str">
        <x:v>7cQDupwnUIWTR2NYcM6GGg==</x:v>
      </x:c>
      <x:c r="X129" s="68" t="str">
        <x:v>https://www.linkedin.com/company/prestige-staffing?trk=public_jobs_jserp-result_job-search-card-subtitle</x:v>
      </x:c>
      <x:c r="Y129" s="68" t="str">
        <x:v>https://media.licdn.com/dms/image/v2/D4E0BAQGAlDnKnAUFoQ/company-logo_100_100/company-logo_100_100/0/1681827307317/prestige_staffing_logo?e=2147483647&amp;v=beta&amp;t=CxPalKGj_ktS3lId36zZ8x_1O-ysUulGi46PYCSD93U</x:v>
      </x:c>
      <x:c r="Z129" s="68"/>
      <x:c r="AA129" s="68" t="str">
        <x:v>&lt;strong&gt;Pay&lt;br&gt;&lt;br&gt;&lt;/strong&gt;$145,000 - 166,500 base&lt;br&gt;&lt;br&gt;&lt;strong&gt;Location&lt;br&gt;&lt;br&gt;&lt;/strong&gt;Remote (100% remote, US-based; approximately one trip to Atlanta headquarters each quarter)&lt;br&gt;&lt;br&gt;&lt;strong&gt;Summary&lt;br&gt;&lt;br&gt;&lt;/strong&gt;Join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innovation.&lt;br&gt;&lt;br&gt;&lt;strong&gt;Requirements&lt;br&gt;&lt;br&gt;&lt;/strong&gt;&lt;ul&gt;&lt;li&gt;Minimum of 2+ years of software industry experience&lt;/li&gt;&lt;li&gt;Strong foundation in AI/ML concepts and model evaluation&lt;/li&gt;&lt;li&gt;Proven experience with production AI/ML models&lt;/li&gt;&lt;li&gt;Ability to develop and maintain high-quality Python code&lt;/li&gt;&lt;li&gt;Experience creating LLM-powered services and features&lt;/li&gt;&lt;li&gt;Desire and aptitude for learning new AI/ML techniques and tools&lt;/li&gt;&lt;li&gt;Familiarity with end-to-end AI/ML processes such as deployment and maintenance at scale&lt;/li&gt;&lt;li&gt;Preferred: experience with AWS AI/ML stack, document processing with LLMs, mentoring teammates, and working with multiple LLM models and tools&lt;br&gt;&lt;br&gt;&lt;/li&gt;&lt;/ul&gt;&lt;strong&gt;Responsibilities&lt;br&gt;&lt;br&gt;&lt;/strong&gt;&lt;ul&gt;&lt;li&gt;Develop and enhance AI/ML services that deliver measurable value to users&lt;/li&gt;&lt;li&gt;Evaluate, experiment, and iterate on LLM and traditional ML models, including context engineering and agent workflows&lt;/li&gt;&lt;li&gt;Monitor and maintain production models, ensuring optimal performance&lt;/li&gt;&lt;li&gt;Collaborate with product, engineering, and UX teams to integrate AI features into customer-facing products&lt;/li&gt;&lt;li&gt;Stay up-to-date with emerging AI/ML developments and incorporate best practices into solutions&lt;/li&gt;&lt;li&gt;Provide strategic input on technical AI/ML initiatives and support continuous improvement efforts&lt;br&gt;&lt;br&gt;&lt;/li&gt;&lt;/ul&gt;&lt;strong&gt;Benefits&lt;br&gt;&lt;br&gt;&lt;/strong&gt;&lt;ul&gt;&lt;li&gt;Flexible PTO, including 11 holidays and your birthday off&lt;/li&gt;&lt;li&gt;401(k) plan with employer matching&lt;/li&gt;&lt;li&gt;Comprehensive health benefits with multiple plans&lt;/li&gt;&lt;li&gt;Sabbatical after 5 years of service&lt;/li&gt;&lt;li&gt;Casual dress environment when in-office&lt;/li&gt;&lt;li&gt;Catered lunches every Thursday&lt;/li&gt;&lt;li&gt;Signing stipend for WFH setup&lt;/li&gt;&lt;li&gt;Free gym membership at the office&lt;/li&gt;&lt;li&gt;Annual employee development stipend of $2,000&lt;/li&gt;&lt;li&gt;Parental leave and fertility/adoption assistance&lt;/li&gt;&lt;li&gt;Annual tutoring stipend for children&lt;/li&gt;&lt;li&gt;Immediate mentorship program access&lt;/li&gt;&lt;li&gt;Career growth opportunities based on performance&lt;/li&gt;&lt;/ul&gt;</x:v>
      </x:c>
      <x:c r="AB129" s="68" t="str">
        <x:v>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 Minimum of 2+ years of software industry experience
- Strong foundation in AI/ML concepts and model evaluation
- Proven experience with production AI/ML models
- Ability to develop and maintain high-quality Python code
- Experience creating LLM-powered services and features
- Desire and aptitude for learning new AI/ML techniques and tools
- Familiarity with end-to-end AI/ML processes such as deployment and maintenance at scale
- Preferred: experience with AWS AI/ML stack, document processing with LLMs, mentoring teammates, and working with multiple LLM models and tools
Responsibilities
- Develop and enhance AI/ML services that deliver measurable value to users
- Evaluate, experiment, and iterate on LLM and traditional ML models, including context engineering and agent workflows
- Monitor and maintain production models, ensuring optimal performance
- Collaborate with product, engineering, and UX teams to integrate AI features into customer-facing products
- Stay up-to-date with emerging AI/ML developments and incorporate best practices into solutions
- Provide strategic input on technical AI/ML initiatives and support continuous improvement efforts
Benefits
- Flexible PTO, including 11 holidays and your birthday off
- 401(k) plan with employer matching
- Comprehensive health benefits with multiple plans
- Sabbatical after 5 years of service
- Casual dress environment when in-office
- Catered lunches every Thursday
- Signing stipend for WFH setup
- Free gym membership at the office
- Annual employee development stipend of $2,000
- Parental leave and fertility/adoption assistance
- Annual tutoring stipend for children
- Immediate mentorship program access
- Career growth opportunities based on performance</x:v>
      </x:c>
      <x:c r="AC129" s="68" t="str">
        <x:v>Entry level</x:v>
      </x:c>
      <x:c r="AD129" s="68" t="str">
        <x:v>Full-time</x:v>
      </x:c>
      <x:c r="AE129" s="68" t="str">
        <x:v>Business Development</x:v>
      </x:c>
      <x:c r="AF129" s="68" t="str">
        <x:v>Staffing and Recruiting</x:v>
      </x:c>
      <x:c r="AG129" s="68" t="str">
        <x:v>https://www.linkedin.com/jobs/search/?position=1&amp;pageNum=0&amp;keywords=AI+Engineer&amp;location=United+States&amp;distance=0&amp;f_TPR=r604800</x:v>
      </x:c>
      <x:c r="AH129" s="68" t="str">
        <x:v>{'type': 'PostalAddress', 'streetAddress': '9040 Roswell Road', 'addressLocality': 'Atlanta', 'addressRegion': 'GA', 'postalCode': '30350', 'addressCountry': 'US'}</x:v>
      </x:c>
      <x:c r="AI129" s="68" t="str">
        <x:v>http://www.prestigestaffing.com</x:v>
      </x:c>
      <x:c r="AJ129" s="68" t="str">
        <x:v>Your HUMAN Resource</x:v>
      </x:c>
      <x:c r="AK129" s="68" t="str">
        <x:v>Prestige Staffing is an award-winning, nationally recognized leader in professional staff augmentation serving local IT, Healthcare, and Accounting &amp; Finance clients as well as USA Contingent Workforce Programs. Our clients range from small entrepreneurial enterprises to Fortune 500 companies looking to hire the best contract and full-time talent quickly.
Since 1999, Prestige Staffing has expanded from a small, locally-based business to become a national entity with offices in Atlanta, Austin, Charlotte, Chicago, Dallas, New York City and St. Louis.
Most recent accomplishments include the Inc 5000 List of America’s Fastest Growing Companies and Inavero’s Best of Staffing, recognizing the top 2% of staffing agencies for service excellence in North America.
</x:v>
      </x:c>
      <x:c r="AL129" s="68" t="str">
        <x:v>730.0</x:v>
      </x:c>
      <x:c r="AM129" s="68"/>
      <x:c r="AN129" s="68"/>
      <x:c r="AO129" s="68"/>
      <x:c r="AP129" s="68"/>
    </x:row>
    <x:row r="130" s="25" customFormat="1" ht="22" customHeight="1">
      <x:c r="A130" s="68" t="str">
        <x:v>4448454768</x:v>
      </x:c>
      <x:c r="B130" s="68" t="str">
        <x:v>AI Engineer - FL</x:v>
      </x:c>
      <x:c r="C130" s="68" t="str">
        <x:v>LawPro.ai</x:v>
      </x:c>
      <x:c r="D130" s="68" t="str">
        <x:v>Florida, United States</x:v>
      </x:c>
      <x:c r="E130" s="68" t="str">
        <x:v>Not Applied</x:v>
      </x:c>
      <x:c r="F130" s="68"/>
      <x:c r="G130" s="69"/>
      <x:c r="H130" s="85" t="str">
        <x:v>2026-08-06</x:v>
      </x:c>
      <x:c r="I130" s="85" t="str">
        <x:v>2026-08-12 13:18:49</x:v>
      </x:c>
      <x:c r="J130" s="68" t="str">
        <x:v>25</x:v>
      </x:c>
      <x:c r="K130" s="70"/>
      <x:c r="L130" s="86"/>
      <x:c r="M130" s="87"/>
      <x:c r="N130" s="71"/>
      <x:c r="O130" s="88"/>
      <x:c r="P130" s="89"/>
      <x:c r="Q130" s="89"/>
      <x:c r="R130" s="89"/>
      <x:c r="S130" s="73"/>
      <x:c r="T130" s="68"/>
      <x:c r="U130" s="68" t="str">
        <x:v>https://www.linkedin.com/jobs/view/ai-engineer-fl-at-lawpro-ai-4448454768?position=43&amp;pageNum=0&amp;refId=7cQDupwnUIWTR2NYcM6GGg%3D%3D&amp;trackingId=7reSklym1mnYZTMQUODnXg%3D%3D</x:v>
      </x:c>
      <x:c r="V130" s="68" t="str">
        <x:v>7reSklym1mnYZTMQUODnXg==</x:v>
      </x:c>
      <x:c r="W130" s="68" t="str">
        <x:v>7cQDupwnUIWTR2NYcM6GGg==</x:v>
      </x:c>
      <x:c r="X130" s="68" t="str">
        <x:v>https://www.linkedin.com/company/lawpro-ai?trk=public_jobs_jserp-result_job-search-card-subtitle</x:v>
      </x:c>
      <x:c r="Y130" s="68" t="str">
        <x:v>https://media.licdn.com/dms/image/v2/D4E0BAQHBJHuDrk33Mw/company-logo_100_100/B4EZlYzYrxIkAQ-/0/1758131490414/lawpro_ai_logo?e=2147483647&amp;v=beta&amp;t=Hv62yYrYgW5ZOjhfBtaqhZYUjdhKXk2vnUlmQBF_40U</x:v>
      </x:c>
      <x:c r="Z130" s="68"/>
      <x:c r="AA130" s="68" t="str">
        <x:v>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x:v>
      </x:c>
      <x:c r="AB130" s="68" t="str">
        <x:v>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x:v>
      </x:c>
      <x:c r="AC130" s="68" t="str">
        <x:v>Not Applicable</x:v>
      </x:c>
      <x:c r="AD130" s="68" t="str">
        <x:v>Full-time</x:v>
      </x:c>
      <x:c r="AE130" s="68" t="str">
        <x:v>Sales, General Business, and Education</x:v>
      </x:c>
      <x:c r="AF130" s="68" t="str">
        <x:v>Wireless Services, Telecommunications, and Communications Equipment Manufacturing</x:v>
      </x:c>
      <x:c r="AG130" s="68" t="str">
        <x:v>https://www.linkedin.com/jobs/search/?position=1&amp;pageNum=0&amp;keywords=AI+Engineer&amp;location=United+States&amp;distance=0&amp;f_TPR=r604800</x:v>
      </x:c>
      <x:c r="AH130" s="68" t="str">
        <x:v>{'type': 'PostalAddress', 'streetAddress': '11859 Wilshire Blvd', 'addressLocality': 'Los Angeles', 'addressRegion': 'California', 'postalCode': '90025', 'addressCountry': 'US'}</x:v>
      </x:c>
      <x:c r="AI130" s="68" t="str">
        <x:v>https://lawpro.ai/</x:v>
      </x:c>
      <x:c r="AJ130" s="68" t="str">
        <x:v>Transforming Legal Workflows with AI – Built by Lawyers, for Lawyers.</x:v>
      </x:c>
      <x:c r="AK130" s="68" t="str">
        <x:v>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x:v>
      </x:c>
      <x:c r="AL130" s="68" t="str">
        <x:v>20.0</x:v>
      </x:c>
      <x:c r="AM130" s="68"/>
      <x:c r="AN130" s="68"/>
      <x:c r="AO130" s="68"/>
      <x:c r="AP130" s="68"/>
    </x:row>
    <x:row r="131" s="25" customFormat="1" ht="22" customHeight="1">
      <x:c r="A131" s="68" t="str">
        <x:v>4450749765</x:v>
      </x:c>
      <x:c r="B131" s="68" t="str">
        <x:v>Site AI Engineer</x:v>
      </x:c>
      <x:c r="C131" s="68" t="str">
        <x:v>Aegistech</x:v>
      </x:c>
      <x:c r="D131" s="68" t="str">
        <x:v>Boston, MA</x:v>
      </x:c>
      <x:c r="E131" s="68" t="str">
        <x:v>Not Applied</x:v>
      </x:c>
      <x:c r="F131" s="68"/>
      <x:c r="G131" s="69"/>
      <x:c r="H131" s="85" t="str">
        <x:v>2026-08-07</x:v>
      </x:c>
      <x:c r="I131" s="85" t="str">
        <x:v>2026-08-12 13:18:49</x:v>
      </x:c>
      <x:c r="J131" s="68" t="str">
        <x:v>70</x:v>
      </x:c>
      <x:c r="K131" s="70" t="str">
        <x:v>$150,000.00/yr - $222,000.00/yr</x:v>
      </x:c>
      <x:c r="L131" s="86"/>
      <x:c r="M131" s="87"/>
      <x:c r="N131" s="71"/>
      <x:c r="O131" s="88"/>
      <x:c r="P131" s="89"/>
      <x:c r="Q131" s="89"/>
      <x:c r="R131" s="89"/>
      <x:c r="S131" s="73"/>
      <x:c r="T131" s="68"/>
      <x:c r="U131" s="68" t="str">
        <x:v>https://www.linkedin.com/jobs/view/site-ai-engineer-at-aegistech-4450749765?position=44&amp;pageNum=0&amp;refId=7cQDupwnUIWTR2NYcM6GGg%3D%3D&amp;trackingId=TBLo13i8ozZKsNFAzB4h9A%3D%3D</x:v>
      </x:c>
      <x:c r="V131" s="68" t="str">
        <x:v>TBLo13i8ozZKsNFAzB4h9A==</x:v>
      </x:c>
      <x:c r="W131" s="68" t="str">
        <x:v>7cQDupwnUIWTR2NYcM6GGg==</x:v>
      </x:c>
      <x:c r="X131" s="68" t="str">
        <x:v>https://www.linkedin.com/company/aegistech?trk=public_jobs_jserp-result_job-search-card-subtitle</x:v>
      </x:c>
      <x:c r="Y131" s="68" t="str">
        <x:v>https://media.licdn.com/dms/image/v2/C510BAQG8-sKtDp0u1w/company-logo_100_100/company-logo_100_100/0/1631367872866?e=2147483647&amp;v=beta&amp;t=8tFAtq1Y484-uYJAhLupUUHoKZ6S8F41H270iCX5Pqs</x:v>
      </x:c>
      <x:c r="Z131" s="68"/>
      <x:c r="AA131" s="68" t="str">
        <x:v>&lt;p&gt;This position can be &lt;strong&gt;consulting or contract-to-hire or full-time&lt;/strong&gt;. Candidates must be in the local geographic area as the position is &lt;strong&gt;hybrid 4-days in the office&lt;/strong&gt;. This is a LONG-TERM project! Great opportunity with terrific company! &lt;/p&gt;&lt;p&gt;&lt;br&gt;&lt;/p&gt;&lt;p&gt;&lt;strong&gt;Responsibilities&lt;/strong&gt;&lt;/p&gt;&lt;ul&gt;&lt;li&gt;&lt;strong&gt;Opportunity hunting and workflow redesig&lt;/strong&gt;n – Lead Lean/Six Sigma discovery workshops; map value streams, assess process and data maturity, and log low-effort/high-impact AI use cases&lt;/li&gt;&lt;li&gt;&lt;strong&gt;Process and data maturity assessmen&lt;/strong&gt;t – Evaluate each job site’s current workflows and underlying data; surface gaps that block AI adoption and develop phased improvement plans with Operations Excellence to establish the right process baseline before deploying agents&lt;/li&gt;&lt;li&gt;&lt;strong&gt;Assess the market solution&lt;/strong&gt;s – Evaluate off-the-shelf and platform tools; launch pilots, measure impact, and scale wins&lt;/li&gt;&lt;li&gt;&lt;strong&gt;Rapid AI-agent build&lt;/strong&gt;s – Convert user stories into production-ready agents in Copilot Studio / Power Apps/Automate, ChatGPT Enterprise, or code-first frameworks within days; wire them to Teams/SharePoint on the front end and Databricks Lakehouse or other sources on the back end&lt;/li&gt;&lt;li&gt;&lt;strong&gt;Enterprise-grade engineering &amp;amp; LLMOp&lt;/strong&gt;s – Build RAG pipelines backed by Delta tables, Unity Catalog, and Databricks Vector Search; automate infra with GitHub Actions / Posit; monitor latency, cost, adoption, and drift&lt;/li&gt;&lt;li&gt;&lt;strong&gt;Data integration&lt;/strong&gt;s – Partner with Data Engineering to design and maintain ETL pipelines, API integrations, and event-driven connectors feeding RAG and agents&lt;/li&gt;&lt;li&gt;&lt;strong&gt;Cross-cloud orchestratio&lt;/strong&gt;n – Blend OpenAI, Azure OpenAI, and AWS Bedrock behind secure custom connectors; package agents for seamless rollout&lt;/li&gt;&lt;li&gt;&lt;strong&gt;Change enablemen&lt;/strong&gt;t – Train crews, gather feedback, iterate, and track adoption and ROI metrics; apply influence model principles to embed agents into daily routines and SOPs, and track behavior change KPIs&lt;/li&gt;&lt;li&gt;&lt;strong&gt;Stakeholder communicatio&lt;/strong&gt;n – Brief project leadership and clients on agent impact in clear business terms; contribute use cases and playbooks for “Construction Site of the Future.&lt;/li&gt;&lt;li&gt;&lt;strong&gt;”Escalation &amp;amp; hand-of&lt;/strong&gt;f – Draft clear user stories, data specs, and acceptance criteria for any complex solution that requires the central AI Solution Engineers or Data Engineering / Data Science team to lean in&lt;/li&gt;&lt;/ul&gt;&lt;p&gt;&lt;br&gt;&lt;/p&gt;&lt;p&gt;&lt;strong&gt;Qualification&lt;/strong&gt;&lt;/p&gt;&lt;ul&gt;&lt;li&gt;4+ years in AI engineering/full-stack data applications or data science, including 2+ years building production LLM/RAG solution&lt;/li&gt;&lt;li&gt;Bachelor’s in CS, Engineering, Physics, or a related field; Master’s preferred&lt;/li&gt;&lt;li&gt;Prior hands-on work in construction or heavy process industries (manufacturing, oil &amp;amp; gas, chemicals) is a significant plus&lt;/li&gt;&lt;li&gt;Demonstrated process excellence background (Lean/Six Sigma Green Belt or equivalent) with experience diagnosing process and data gaps and supporting change management plans with Operations Excellence&lt;/li&gt;&lt;li&gt;Hands-on expertise with Copilot Studio, Power Apps/Automate, custom connectors, and CoE Toolkit governance&lt;/li&gt;&lt;li&gt;Programming &amp;amp; data stack: Python, SQL, Databricks Lakehouse, vector stores&lt;/li&gt;&lt;li&gt;DevOps &amp;amp; IaC: GitHub Actions (or Azure DevOps) and Posit Workbench/Connect automation or comparable CI/CD tooling; strong Git/GitHub workflow discipline&lt;/li&gt;&lt;li&gt;Integration &amp;amp; ETL skills: Foundational understanding of ETL/ELT design, Airflow or Databricks Workflows, and REST/GraphQL API development; proven collaboration with Data Engineering on source-to-lake and lake-to-agent pipeline&lt;/li&gt;&lt;/ul&gt;</x:v>
      </x:c>
      <x:c r="AB131" s="68" t="str">
        <x:v>
This position can be consulting or contract-to-hire or full-time. Candidates must be in the local geographic area as the position is hybrid 4-days in the office. This is a LONG-TERM project! Great opportunity with terrific company! 
Responsibilities
- Opportunity hunting and workflow redesign – Lead Lean/Six Sigma discovery workshops; map value streams, assess process and data maturity, and log low-effort/high-impact AI use cases
- Process and data maturity assessment – Evaluate each job 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production-ready agents in Copilot Studio / Power Apps/Automate, ChatGPT Enterprise, or code-first frameworks within days; wire them to Teams/SharePoint on the front end and Databricks Lakehouse or other sources on the back end
- Enterprise-grade engineering &amp;amp; LLMOps – Build RAG pipelines backed by Delta tables, Unity Catalog, and Databricks Vector Search; automate infra with GitHub Actions / Posit; monitor latency, cost, adoption, and drift
- Data integrations – Partner with Data Engineering to design and maintain ETL pipelines, API integrations, and event-driven connectors feeding RAG and agents
- Cross-cloud orchestration – Blend OpenAI, Azure OpenAI, and AWS Bedrock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“Construction Site of the Future.
- ”Escalation &amp;amp; hand-off – Draft clear user stories, data specs, and acceptance criteria for any complex solution that requires the central AI Solution Engineers or Data Engineering / Data Science team to lean in
Qualification
- 4+ years in AI engineering/full-stack data applications or data science, including 2+ years building production LLM/RAG solution
- Bachelor’s in CS, Engineering, Physics, or a related field; Master’s preferred
- Prior hands-on work in construction or heavy process industries (manufacturing, oil &amp;amp; gas, chemicals) is a significant plus
- Demonstrated process excellence background (Lean/Six Sigma Green Belt or equivalent) with experience diagnosing process and data gaps and supporting change management plans with Operations Excellence
- Hands-on expertise with Copilot Studio, Power Apps/Automate, custom connectors, and CoE Toolkit governance
- Programming &amp;amp; data stack: Python, SQL, Databricks Lakehouse, vector stores
- DevOps &amp;amp; IaC: GitHub Actions (or Azure DevOps) and Posit Workbench/Connect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x:v>
      </x:c>
      <x:c r="AC131" s="68" t="str">
        <x:v>Mid-Senior level</x:v>
      </x:c>
      <x:c r="AD131" s="68" t="str">
        <x:v>Contract</x:v>
      </x:c>
      <x:c r="AE131" s="68" t="str">
        <x:v>Information Technology</x:v>
      </x:c>
      <x:c r="AF131" s="68" t="str">
        <x:v>Construction</x:v>
      </x:c>
      <x:c r="AG131" s="68" t="str">
        <x:v>https://www.linkedin.com/jobs/search/?position=1&amp;pageNum=0&amp;keywords=AI+Engineer&amp;location=United+States&amp;distance=0&amp;f_TPR=r604800</x:v>
      </x:c>
      <x:c r="AH131" s="68" t="str">
        <x:v>{'type': 'PostalAddress', 'streetAddress': '7 Penn Plaza', 'addressLocality': 'New York', 'addressRegion': 'NY', 'postalCode': '10001', 'addressCountry': 'US'}</x:v>
      </x:c>
      <x:c r="AI131" s="68" t="str">
        <x:v>https://aegistech.com</x:v>
      </x:c>
      <x:c r="AJ131" s="68" t="str">
        <x:v>Opportunity is our Business.</x:v>
      </x:c>
      <x:c r="AK131" s="68" t="str">
        <x:v>Aegistech is a Staffing and Consulting firm based in New York City that focuses on IT, Engineering and Construction. For three decades we've helped our clients -- global leaders in Finance, Pharma/Biotech, Construction, Engineering, Publishing, eCommerce, Media and more -- hire the people that keep their brands technically innovative and at the forefront of their industries. Learn more about us and view all of our available opportunities at www.aegistech.com.</x:v>
      </x:c>
      <x:c r="AL131" s="68" t="str">
        <x:v>63.0</x:v>
      </x:c>
      <x:c r="AM131" s="68"/>
      <x:c r="AN131" s="68"/>
      <x:c r="AO131" s="68"/>
      <x:c r="AP131" s="68"/>
    </x:row>
    <x:row r="132" s="25" customFormat="1" ht="22" customHeight="1">
      <x:c r="A132" s="68" t="str">
        <x:v>4447222289</x:v>
      </x:c>
      <x:c r="B132" s="68" t="str">
        <x:v>AI Engineer - PE Firm - Up to 250k Base</x:v>
      </x:c>
      <x:c r="C132" s="68" t="str">
        <x:v>Saragossa</x:v>
      </x:c>
      <x:c r="D132" s="68" t="str">
        <x:v>Boston, MA</x:v>
      </x:c>
      <x:c r="E132" s="68" t="str">
        <x:v>Not Applied</x:v>
      </x:c>
      <x:c r="F132" s="68"/>
      <x:c r="G132" s="69"/>
      <x:c r="H132" s="85" t="str">
        <x:v>2026-08-11</x:v>
      </x:c>
      <x:c r="I132" s="85" t="str">
        <x:v>2026-08-12 13:18:49</x:v>
      </x:c>
      <x:c r="J132" s="68" t="str">
        <x:v>200</x:v>
      </x:c>
      <x:c r="K132" s="70" t="str">
        <x:v>$230,000.00/yr - $260,000.00/yr</x:v>
      </x:c>
      <x:c r="L132" s="86"/>
      <x:c r="M132" s="87"/>
      <x:c r="N132" s="71"/>
      <x:c r="O132" s="88"/>
      <x:c r="P132" s="89"/>
      <x:c r="Q132" s="89"/>
      <x:c r="R132" s="89"/>
      <x:c r="S132" s="73"/>
      <x:c r="T132" s="68"/>
      <x:c r="U132" s="68" t="str">
        <x:v>https://www.linkedin.com/jobs/view/ai-engineer-pe-firm-up-to-250k-base-at-saragossa-4447222289?position=39&amp;pageNum=0&amp;refId=7cQDupwnUIWTR2NYcM6GGg%3D%3D&amp;trackingId=SSeOFqt2bSe7lc64KUfevQ%3D%3D</x:v>
      </x:c>
      <x:c r="V132" s="68" t="str">
        <x:v>SSeOFqt2bSe7lc64KUfevQ==</x:v>
      </x:c>
      <x:c r="W132" s="68" t="str">
        <x:v>7cQDupwnUIWTR2NYcM6GGg==</x:v>
      </x:c>
      <x:c r="X132" s="68" t="str">
        <x:v>https://uk.linkedin.com/company/saragossa?trk=public_jobs_jserp-result_job-search-card-subtitle</x:v>
      </x:c>
      <x:c r="Y132" s="68" t="str">
        <x:v>https://media.licdn.com/dms/image/v2/D4E0BAQHb3ZnxfsjvfA/company-logo_100_100/B4EZrp8GGEKkAU-/0/1764861436680/saragossa_logo?e=2147483647&amp;v=beta&amp;t=py4qSqvn7EQdYsnCMfSS1Ycc66UmTZ2Hk7KnYr0DUro</x:v>
      </x:c>
      <x:c r="Z132" s="68"/>
      <x:c r="AA132" s="68" t="str">
        <x:v>&lt;p&gt;&lt;strong&gt;&lt;u&gt;AI Engineer - PE Firm - Up to 250k Base&lt;/u&gt;&lt;/strong&gt;&lt;/p&gt;&lt;p&gt;&lt;br&gt;&lt;/p&gt;&lt;p&gt;This is a forward deployed AI Engineer role sitting within a newly formed, dedicated AI team at one of the world's most well-regarded large cap private equity firms.&lt;/p&gt;&lt;p&gt;&lt;br&gt;&lt;/p&gt;&lt;p&gt;You will be parachuted into portfolio companies, initially &lt;strong&gt;&lt;em&gt;healthcare focused -&lt;/em&gt;&lt;/strong&gt; to assess, design, build, and hand off high-impact AI solutions at pace.&lt;/p&gt;&lt;p&gt;&lt;br&gt;&lt;/p&gt;&lt;p&gt;The model is deliberately lean. You will work as part of a small, highly specialized pod alongside an AI Product Manager. Together you are the team. You will be embedded within portfolio companies with full credentials, access, and credibility.&lt;/p&gt;&lt;p&gt;&lt;br&gt;&lt;/p&gt;&lt;p&gt;The goal is not to embed indefinitely. It is to get a portfolio company to the point of scaling an AI opportunity and then hand it off - including helping them hire and build their own capability.&lt;/p&gt;&lt;p&gt;&lt;br&gt;&lt;/p&gt;&lt;p&gt;Day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handoff.&lt;/p&gt;&lt;p&gt;&lt;br&gt;&lt;/p&gt;&lt;p&gt;You need to be comfortable talking to executives and frontline users, not just engineers.&lt;/p&gt;&lt;p&gt;&lt;br&gt;&lt;/p&gt;&lt;p&gt;The technical bar is high. You need &lt;strong&gt;&lt;em&gt;hands-on experience with agentic builds, &lt;/em&gt;&lt;/strong&gt;not just simple RAG use cases. Experience building &lt;strong&gt;&lt;em&gt;Multi-Agent Systems (MAS)&lt;/em&gt;&lt;/strong&gt; is essential. &lt;strong&gt;&lt;em&gt;Python&lt;/em&gt;&lt;/strong&gt; is expected. &lt;strong&gt;&lt;em&gt;LangGraph&lt;/em&gt;&lt;/strong&gt; or similar agentic frameworks, evaluation frameworks, &lt;strong&gt;&lt;em&gt;MLflow&lt;/em&gt;&lt;/strong&gt;, and a strong grasp of &lt;strong&gt;&lt;em&gt;LLMOps&lt;/em&gt;&lt;/strong&gt; and operationalization at scale are all relevant. Full-stack software engineering background is important - this is a Swiss army knife role, not a narrow specialism.&lt;/p&gt;&lt;p&gt;&lt;br&gt;&lt;/p&gt;&lt;p&gt;Ready to make a real move into something with genuine scope?&lt;/p&gt;&lt;p&gt;&lt;br&gt;&lt;/p&gt;&lt;p&gt;Get in touch.&lt;/p&gt;&lt;p&gt;&lt;br&gt;&lt;/p&gt;&lt;p&gt;No up-to-date CV required.&lt;/p&gt;</x:v>
      </x:c>
      <x:c r="AB132" s="68" t="str">
        <x:v>
AI Engineer - PE Firm - Up to 250k Base
This is a forward deployed AI Engineer role sitting within a newly formed, dedicated AI team at one of the world's most well-regarded large cap private equity firms.
You will be parachuted into portfolio companies, initially healthcare focused - to assess, design, build, and hand off high-impact AI solutions at pace.
The model is deliberately lean. You will work as part of a small, highly specialized pod alongside an AI Product Manager. Together you are the team. You will be embedded within portfolio companies with full credentials, access, and credibility.
The goal is not to embed indefinitely. It is to get a portfolio company to the point of scaling an AI opportunity and then hand it off - including helping them hire and build their own capability.
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
You need to be comfortable talking to executives and frontline users, not just engineers.
The technical bar is high. You need hands-on experience with agentic builds, not just simple RAG use cases. Experience building Multi-Agent Systems (MAS) is essential. Python is expected. LangGraph or similar agentic frameworks, evaluation frameworks, MLflow, and a strong grasp of LLMOps and operationalization at scale are all relevant. Full-stack software engineering background is important - this is a Swiss army knife role, not a narrow specialism.
Ready to make a real move into something with genuine scope?
Get in touch.
No up-to-date CV required.</x:v>
      </x:c>
      <x:c r="AC132" s="68" t="str">
        <x:v>Mid-Senior level</x:v>
      </x:c>
      <x:c r="AD132" s="68" t="str">
        <x:v>Full-time</x:v>
      </x:c>
      <x:c r="AE132" s="68" t="str">
        <x:v>Engineering and Information Technology</x:v>
      </x:c>
      <x:c r="AF132" s="68" t="str">
        <x:v>IT Services and IT Consulting</x:v>
      </x:c>
      <x:c r="AG132" s="68" t="str">
        <x:v>https://www.linkedin.com/jobs/search/?position=1&amp;pageNum=0&amp;keywords=AI+Engineer&amp;location=United+States&amp;distance=0&amp;f_TPR=r604800</x:v>
      </x:c>
      <x:c r="AH132" s="68" t="str">
        <x:v>{'type': 'PostalAddress', 'streetAddress': "12-18 Theobald's Road", 'addressLocality': 'London', 'addressRegion': 'England', 'postalCode': 'WC1X 8SL', 'addressCountry': 'GB'}</x:v>
      </x:c>
      <x:c r="AI132" s="68" t="str">
        <x:v>http://www.saragossa.co.uk</x:v>
      </x:c>
      <x:c r="AJ132" s="68" t="str">
        <x:v>Fearlessly delivering brilliant experiences and exceptional outcomes. </x:v>
      </x:c>
      <x:c r="AK132" s="68" t="str">
        <x:v>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x:v>
      </x:c>
      <x:c r="AL132" s="68" t="str">
        <x:v>140.0</x:v>
      </x:c>
      <x:c r="AM132" s="68" t="str">
        <x:v>Peter Joyce</x:v>
      </x:c>
      <x:c r="AN132" s="68" t="str">
        <x:v>Consultant at Saragossa - Creating competitive advantage for investment technology organizations</x:v>
      </x:c>
      <x:c r="AO132" s="68" t="str">
        <x:v>https://media.licdn.com/dms/image/v2/D4E03AQH5xp3mTtUZZg/profile-displayphoto-scale_400_400/B4EZvCN.51JcAg-/0/1768490005315?e=2147483647&amp;v=beta&amp;t=ac_ZmgtA1O4Mm24uSM7_ht02dTusNdeJ4zSXjYFb3g0</x:v>
      </x:c>
      <x:c r="AP132" s="68" t="str">
        <x:v>https://www.linkedin.com/in/peter-joyce</x:v>
      </x:c>
    </x:row>
    <x:row r="133" s="25" customFormat="1" ht="22" customHeight="1">
      <x:c r="A133" s="68" t="str">
        <x:v>4407175659</x:v>
      </x:c>
      <x:c r="B133" s="68" t="str">
        <x:v>Applied AI Engineer</x:v>
      </x:c>
      <x:c r="C133" s="68" t="str">
        <x:v>Rillet</x:v>
      </x:c>
      <x:c r="D133" s="68" t="str">
        <x:v>New York, NY</x:v>
      </x:c>
      <x:c r="E133" s="68" t="str">
        <x:v>Not Applied</x:v>
      </x:c>
      <x:c r="F133" s="68"/>
      <x:c r="G133" s="69"/>
      <x:c r="H133" s="85" t="str">
        <x:v>2026-08-12</x:v>
      </x:c>
      <x:c r="I133" s="85" t="str">
        <x:v>2026-08-12 13:18:49</x:v>
      </x:c>
      <x:c r="J133" s="68" t="str">
        <x:v>200</x:v>
      </x:c>
      <x:c r="K133" s="70"/>
      <x:c r="L133" s="86"/>
      <x:c r="M133" s="87"/>
      <x:c r="N133" s="71"/>
      <x:c r="O133" s="88"/>
      <x:c r="P133" s="89"/>
      <x:c r="Q133" s="89"/>
      <x:c r="R133" s="89"/>
      <x:c r="S133" s="73"/>
      <x:c r="T133" s="68"/>
      <x:c r="U133" s="68" t="str">
        <x:v>https://www.linkedin.com/jobs/view/applied-ai-engineer-at-rillet-4407175659?position=40&amp;pageNum=0&amp;refId=7cQDupwnUIWTR2NYcM6GGg%3D%3D&amp;trackingId=uR7mxHHMdddbdBd8ht0dkQ%3D%3D</x:v>
      </x:c>
      <x:c r="V133" s="68" t="str">
        <x:v>uR7mxHHMdddbdBd8ht0dkQ==</x:v>
      </x:c>
      <x:c r="W133" s="68" t="str">
        <x:v>7cQDupwnUIWTR2NYcM6GGg==</x:v>
      </x:c>
      <x:c r="X133" s="68" t="str">
        <x:v>https://www.linkedin.com/company/team-rillet?trk=public_jobs_jserp-result_job-search-card-subtitle</x:v>
      </x:c>
      <x:c r="Y133" s="68" t="str">
        <x:v>https://media.licdn.com/dms/image/v2/D560BAQF3L4XRe1toUA/company-logo_100_100/B56ZvCQCDnK0AQ-/0/1768490541608/team_rillet_logo?e=2147483647&amp;v=beta&amp;t=eEeTtFKiw7LQcFpXC8UxDBHdRqOh8f5PLPM_kennqfo</x:v>
      </x:c>
      <x:c r="Z133" s="68"/>
      <x:c r="AA133" s="68" t="str">
        <x:v>&lt;strong&gt;What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x:v>
      </x:c>
      <x:c r="AB133" s="68" t="str">
        <x:v>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x:v>
      </x:c>
      <x:c r="AC133" s="68" t="str">
        <x:v>Not Applicable</x:v>
      </x:c>
      <x:c r="AD133" s="68" t="str">
        <x:v>Full-time</x:v>
      </x:c>
      <x:c r="AE133" s="68" t="str">
        <x:v>Engineering and Information Technology</x:v>
      </x:c>
      <x:c r="AF133" s="68" t="str">
        <x:v>Software Development</x:v>
      </x:c>
      <x:c r="AG133" s="68" t="str">
        <x:v>https://www.linkedin.com/jobs/search/?position=1&amp;pageNum=0&amp;keywords=AI+Engineer&amp;location=United+States&amp;distance=0&amp;f_TPR=r604800</x:v>
      </x:c>
      <x:c r="AH133" s="68" t="str">
        <x:v>{'type': 'PostalAddress', 'addressLocality': 'San Francisco', 'addressRegion': 'CA', 'addressCountry': 'US'}</x:v>
      </x:c>
      <x:c r="AI133" s="68" t="str">
        <x:v>https://www.rillet.com/</x:v>
      </x:c>
      <x:c r="AJ133" s="68" t="str">
        <x:v>Rillet is the AI-native ERP designed to automate accounting and close books faster. Built by accountants for accountants</x:v>
      </x:c>
      <x:c r="AK133" s="68" t="str">
        <x:v>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x:v>
      </x:c>
      <x:c r="AL133" s="68" t="str">
        <x:v>208.0</x:v>
      </x:c>
      <x:c r="AM133" s="68"/>
      <x:c r="AN133" s="68"/>
      <x:c r="AO133" s="68"/>
      <x:c r="AP133" s="68"/>
    </x:row>
    <x:row r="134" s="25" customFormat="1" ht="22" customHeight="1">
      <x:c r="A134" s="68" t="str">
        <x:v>4426732783</x:v>
      </x:c>
      <x:c r="B134" s="68" t="str">
        <x:v>Agentic AI Engineer — Healthcare AI</x:v>
      </x:c>
      <x:c r="C134" s="68" t="str">
        <x:v>Deloitte</x:v>
      </x:c>
      <x:c r="D134" s="68" t="str">
        <x:v>Miami, FL</x:v>
      </x:c>
      <x:c r="E134" s="68" t="str">
        <x:v>Not Applied</x:v>
      </x:c>
      <x:c r="F134" s="68"/>
      <x:c r="G134" s="69"/>
      <x:c r="H134" s="85" t="str">
        <x:v>2026-08-12</x:v>
      </x:c>
      <x:c r="I134" s="85" t="str">
        <x:v>2026-08-12 13:18:49</x:v>
      </x:c>
      <x:c r="J134" s="68" t="str">
        <x:v>130</x:v>
      </x:c>
      <x:c r="K134" s="70"/>
      <x:c r="L134" s="86"/>
      <x:c r="M134" s="87"/>
      <x:c r="N134" s="71"/>
      <x:c r="O134" s="88"/>
      <x:c r="P134" s="89"/>
      <x:c r="Q134" s="89"/>
      <x:c r="R134" s="89"/>
      <x:c r="S134" s="73"/>
      <x:c r="T134" s="68"/>
      <x:c r="U134" s="68" t="str">
        <x:v>https://www.linkedin.com/jobs/view/agentic-ai-engineer-%E2%80%94-healthcare-ai-at-deloitte-4426732783?position=36&amp;pageNum=0&amp;refId=7cQDupwnUIWTR2NYcM6GGg%3D%3D&amp;trackingId=SI5m%2Facib3QJTlrgZlFomA%3D%3D</x:v>
      </x:c>
      <x:c r="V134" s="68" t="str">
        <x:v>SI5m/acib3QJTlrgZlFomA==</x:v>
      </x:c>
      <x:c r="W134" s="68" t="str">
        <x:v>7cQDupwnUIWTR2NYcM6GGg==</x:v>
      </x:c>
      <x:c r="X134" s="68" t="str">
        <x:v>https://www.linkedin.com/company/deloitte?trk=public_jobs_jserp-result_job-search-card-subtitle</x:v>
      </x:c>
      <x:c r="Y134" s="68" t="str">
        <x:v>https://media.licdn.com/dms/image/v2/C560BAQGNtpblgQpJoQ/company-logo_100_100/company-logo_100_100/0/1662120928214/deloitte_logo?e=2147483647&amp;v=beta&amp;t=OSF8M5LreT0Sf2F-JcNk6XMT0ArCuPfDmRR-knCC4HY</x:v>
      </x:c>
      <x:c r="Z134" s="68"/>
      <x:c r="AA134" s="68" t="str">
        <x:v>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x:v>
      </x:c>
      <x:c r="AB134" s="68" t="str">
        <x:v>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x:v>
      </x:c>
      <x:c r="AC134" s="68" t="str">
        <x:v>Not Applicable</x:v>
      </x:c>
      <x:c r="AD134" s="68" t="str">
        <x:v>Full-time</x:v>
      </x:c>
      <x:c r="AE134" s="68" t="str">
        <x:v>Engineering and Information Technology</x:v>
      </x:c>
      <x:c r="AF134" s="68" t="str">
        <x:v>Accounting, IT Services and IT Consulting, and Business Consulting and Services</x:v>
      </x:c>
      <x:c r="AG134" s="68" t="str">
        <x:v>https://www.linkedin.com/jobs/search/?position=1&amp;pageNum=0&amp;keywords=AI+Engineer&amp;location=United+States&amp;distance=0&amp;f_TPR=r604800</x:v>
      </x:c>
      <x:c r="AH134" s="68" t="str">
        <x:v>{'type': 'PostalAddress', 'streetAddress': 'Worldwide', 'addressLocality': 'Worldwide', 'addressCountry': 'OO'}</x:v>
      </x:c>
      <x:c r="AI134" s="68" t="str">
        <x:v>http://www.deloitte.com/</x:v>
      </x:c>
      <x:c r="AJ134" s="68" t="str">
        <x:v>Together makes progress</x:v>
      </x:c>
      <x:c r="AK134" s="68" t="str">
        <x:v>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x:v>
      </x:c>
      <x:c r="AL134" s="68" t="str">
        <x:v>532520.0</x:v>
      </x:c>
      <x:c r="AM134" s="68"/>
      <x:c r="AN134" s="68"/>
      <x:c r="AO134" s="68"/>
      <x:c r="AP134" s="68"/>
    </x:row>
    <x:row r="135" s="25" customFormat="1" ht="22" customHeight="1">
      <x:c r="A135" s="68" t="str">
        <x:v>4451971520</x:v>
      </x:c>
      <x:c r="B135" s="68" t="str">
        <x:v>Applied AI Engineer</x:v>
      </x:c>
      <x:c r="C135" s="68" t="str">
        <x:v>NVIDIA</x:v>
      </x:c>
      <x:c r="D135" s="68" t="str">
        <x:v>Texas, United States</x:v>
      </x:c>
      <x:c r="E135" s="68" t="str">
        <x:v>Not Applied</x:v>
      </x:c>
      <x:c r="F135" s="68"/>
      <x:c r="G135" s="69"/>
      <x:c r="H135" s="85" t="str">
        <x:v>2026-08-12</x:v>
      </x:c>
      <x:c r="I135" s="85" t="str">
        <x:v>2026-08-12 13:18:49</x:v>
      </x:c>
      <x:c r="J135" s="68" t="str">
        <x:v>56</x:v>
      </x:c>
      <x:c r="K135" s="70"/>
      <x:c r="L135" s="86"/>
      <x:c r="M135" s="87"/>
      <x:c r="N135" s="71"/>
      <x:c r="O135" s="88"/>
      <x:c r="P135" s="89"/>
      <x:c r="Q135" s="89"/>
      <x:c r="R135" s="89"/>
      <x:c r="S135" s="73"/>
      <x:c r="T135" s="68"/>
      <x:c r="U135" s="68" t="str">
        <x:v>https://www.linkedin.com/jobs/view/applied-ai-engineer-at-nvidia-4451971520?position=37&amp;pageNum=0&amp;refId=7cQDupwnUIWTR2NYcM6GGg%3D%3D&amp;trackingId=r0bRe3wgsONszbUJzqn%2BdA%3D%3D</x:v>
      </x:c>
      <x:c r="V135" s="68" t="str">
        <x:v>r0bRe3wgsONszbUJzqn+dA==</x:v>
      </x:c>
      <x:c r="W135" s="68" t="str">
        <x:v>7cQDupwnUIWTR2NYcM6GGg==</x:v>
      </x:c>
      <x:c r="X135" s="68" t="str">
        <x:v>https://www.linkedin.com/company/nvidia?trk=public_jobs_jserp-result_job-search-card-subtitle</x:v>
      </x:c>
      <x:c r="Y135" s="68" t="str">
        <x:v>https://media.licdn.com/dms/image/v2/D560BAQGV36q2EowSyw/company-logo_100_100/company-logo_100_100/0/1724881581208/nvidia_logo?e=2147483647&amp;v=beta&amp;t=oCxt8kGhi0AfLuVDY7D_jzkUIEe-fAV5Q5eLaRxXzOE</x:v>
      </x:c>
      <x:c r="Z135" s="68"/>
      <x:c r="AA135" s="68" t="str">
        <x:v>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x:v>
      </x:c>
      <x:c r="AB135" s="68" t="str">
        <x:v>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x:v>
      </x:c>
      <x:c r="AC135" s="68" t="str">
        <x:v>Not Applicable</x:v>
      </x:c>
      <x:c r="AD135" s="68" t="str">
        <x:v>Full-time</x:v>
      </x:c>
      <x:c r="AE135" s="68" t="str">
        <x:v>Engineering</x:v>
      </x:c>
      <x:c r="AF135" s="68" t="str">
        <x:v>Computer Hardware Manufacturing</x:v>
      </x:c>
      <x:c r="AG135" s="68" t="str">
        <x:v>https://www.linkedin.com/jobs/search/?position=1&amp;pageNum=0&amp;keywords=AI+Engineer&amp;location=United+States&amp;distance=0&amp;f_TPR=r604800</x:v>
      </x:c>
      <x:c r="AH135" s="68" t="str">
        <x:v>{'type': 'PostalAddress', 'streetAddress': '2701 San Tomas Expressway', 'addressLocality': 'Santa Clara', 'addressRegion': 'CA', 'postalCode': '95050', 'addressCountry': 'US'}</x:v>
      </x:c>
      <x:c r="AI135" s="68" t="str">
        <x:v>http://www.nvidia.com</x:v>
      </x:c>
      <x:c r="AJ135" s="68"/>
      <x:c r="AK135" s="68" t="str">
        <x:v>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x:v>
      </x:c>
      <x:c r="AL135" s="68" t="str">
        <x:v>50837.0</x:v>
      </x:c>
      <x:c r="AM135" s="68"/>
      <x:c r="AN135" s="68"/>
      <x:c r="AO135" s="68"/>
      <x:c r="AP135" s="68"/>
    </x:row>
    <x:row r="136" s="25" customFormat="1" ht="22" customHeight="1">
      <x:c r="A136" s="68" t="str">
        <x:v>4450240549</x:v>
      </x:c>
      <x:c r="B136" s="68" t="str">
        <x:v>AI/ML Software Engineer - Financial Services</x:v>
      </x:c>
      <x:c r="C136" s="68" t="str">
        <x:v>Daley And Associates, LLC</x:v>
      </x:c>
      <x:c r="D136" s="68" t="str">
        <x:v>Boston, MA</x:v>
      </x:c>
      <x:c r="E136" s="68" t="str">
        <x:v>Not Applied</x:v>
      </x:c>
      <x:c r="F136" s="68"/>
      <x:c r="G136" s="69"/>
      <x:c r="H136" s="85" t="str">
        <x:v>2026-08-06</x:v>
      </x:c>
      <x:c r="I136" s="85" t="str">
        <x:v>2026-08-12 13:18:49</x:v>
      </x:c>
      <x:c r="J136" s="68" t="str">
        <x:v>53</x:v>
      </x:c>
      <x:c r="K136" s="70"/>
      <x:c r="L136" s="86"/>
      <x:c r="M136" s="87"/>
      <x:c r="N136" s="71"/>
      <x:c r="O136" s="88"/>
      <x:c r="P136" s="89"/>
      <x:c r="Q136" s="89"/>
      <x:c r="R136" s="89"/>
      <x:c r="S136" s="73"/>
      <x:c r="T136" s="68"/>
      <x:c r="U136" s="68" t="str">
        <x:v>https://www.linkedin.com/jobs/view/ai-ml-software-engineer-financial-services-at-daley-and-associates-llc-4450240549?position=34&amp;pageNum=0&amp;refId=7cQDupwnUIWTR2NYcM6GGg%3D%3D&amp;trackingId=s%2FHGv0cfsysGytI%2FHPmjaw%3D%3D</x:v>
      </x:c>
      <x:c r="V136" s="68" t="str">
        <x:v>s/HGv0cfsysGytI/HPmjaw==</x:v>
      </x:c>
      <x:c r="W136" s="68" t="str">
        <x:v>7cQDupwnUIWTR2NYcM6GGg==</x:v>
      </x:c>
      <x:c r="X136" s="68" t="str">
        <x:v>https://www.linkedin.com/company/daley-and-associates?trk=public_jobs_jserp-result_job-search-card-subtitle</x:v>
      </x:c>
      <x:c r="Y136" s="68" t="str">
        <x:v>https://media.licdn.com/dms/image/v2/D4E0BAQHgECSNPs8Pzg/company-logo_100_100/B4EZ5rFB0fIgAI-/0/1779912941462/daley_and_associates_logo?e=2147483647&amp;v=beta&amp;t=uJTurfBkrdcm8KUZmk0o9B3dYdd2_dLVIkKIcujeTaA</x:v>
      </x:c>
      <x:c r="Z136" s="68"/>
      <x:c r="AA136" s="68" t="str">
        <x:v>&lt;strong&gt;&lt;span&gt;AI/ML Software Engineer - Financial Services&lt;/span&gt;&lt;/strong&gt;&lt;p&gt;Daley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organization.&lt;br&gt;&lt;br&gt;&lt;strong&gt;This is a full-time opportunity paying a base salary range of $130K-$190K&lt;/strong&gt;&lt;/p&gt;&lt;strong&gt;Responsibilities&lt;/strong&gt;&lt;ul&gt;&lt;li&gt;Design, develop, and deploy AI and machine learning applications from concept through production.&lt;/li&gt;&lt;li&gt;Build and optimize machine learning and deep learning models using structured and unstructured data.&lt;/li&gt;&lt;li&gt;Develop applications leveraging large language models (LLMs), generative AI, and retrieval-augmented generation (RAG).&lt;/li&gt;&lt;li&gt;Design scalable APIs and backend services that integrate AI capabilities into enterprise applications.&lt;/li&gt;&lt;li&gt;Develop modern full-stack applications supporting AI-driven workflows.&lt;/li&gt;&lt;li&gt;Deploy and maintain cloud-native AI solutions using AWS and containerized environments.&lt;/li&gt;&lt;li&gt;Build intelligent automation solutions, AI agents, and advanced orchestration workflows.&lt;/li&gt;&lt;li&gt;Continuously evaluate and improve model performance, scalability, and reliability.&lt;/li&gt;&lt;li&gt;Collaborate with software engineers, data teams, and business stakeholders to deliver innovative AI solutions.&lt;/li&gt;&lt;li&gt;Research emerging AI technologies and recommend best practices for implementation.&lt;/li&gt;&lt;/ul&gt;&lt;strong&gt;Qualifications&lt;/strong&gt;&lt;ul&gt;&lt;li&gt;Master's degree in Computer Science, Artificial Intelligence, Machine Learning, or a related technical field preferred. Bachelor's degree with equivalent experience will also be considered.&lt;/li&gt;&lt;li&gt;2–5 years of professional software engineering experience.&lt;/li&gt;&lt;li&gt;Experience developing and deploying AI or machine learning applications in production environments.&lt;/li&gt;&lt;li&gt;Financial services or investment management industry experience is a plus.&lt;/li&gt;&lt;li&gt;Excellent analytical, communication, and problem-solving skills.&lt;/li&gt;&lt;li&gt;Ability to thrive in a collaborative, fast-paced environment.&lt;/li&gt;&lt;/ul&gt;&lt;strong&gt;Technical Skills&lt;/strong&gt;&lt;ul&gt;&lt;li&gt;Expert-level Python development.&lt;/li&gt;&lt;li&gt;Strong experience with JavaScript and Java.&lt;/li&gt;&lt;li&gt;Solid understanding of machine learning concepts including regression, classification, clustering, and deep learning.&lt;/li&gt;&lt;li&gt;Experience with PyTorch or comparable deep learning frameworks.&lt;/li&gt;&lt;li&gt;Hands-on experience with AWS AI and cloud services.&lt;/li&gt;&lt;li&gt;Experience with Docker, Kubernetes, ECS, or similar container orchestration technologies.&lt;/li&gt;&lt;li&gt;Strong understanding of software architecture, algorithms, and data structures.&lt;/li&gt;&lt;li&gt;Experience building AI agents, agentic workflows, Model Context Protocol (MCP) implementations, or multi-agent systems.&lt;/li&gt;&lt;li&gt;Familiarity with modern AI development tools such as Claude Code, Codex, Cursor, or similar AI-assisted development platforms.&lt;/li&gt;&lt;/ul&gt;&lt;em&gt;&lt;em&gt;For immediate consideration, please email your resume to Ryan at Rhult@daleyaa.com with the subject line "Application - AI/ML Software Engineer"&amp;nbsp;&lt;br&gt;&lt;br&gt;&lt;/em&gt;&lt;/em&gt;</x:v>
      </x:c>
      <x:c r="AB136" s="68" t="str">
        <x:v>AI/ML Software Engineer - Financial Services
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
This is a full-time opportunity paying a base salary range of $130K-$190KResponsibilities
- Design, develop, and deploy AI and machine learning applications from concept through production.
- Build and optimize machine learning and deep learning models using structured and unstructured data.
- Develop applications leveraging large language models (LLMs), generative AI, and retrieval-augmented generation (RAG).
- Design scalable APIs and backend services that integrate AI capabilities into enterprise applications.
- Develop modern full-stack applications supporting AI-driven workflows.
- Deploy and maintain cloud-native AI solutions using AWS and containerized environments.
- Build intelligent automation solutions, AI agents, and advanced orchestration workflows.
- Continuously evaluate and improve model performance, scalability, and reliability.
- Collaborate with software engineers, data teams, and business stakeholders to deliver innovative AI solutions.
- Research emerging AI technologies and recommend best practices for implementation.Qualifications
- Master's degree in Computer Science, Artificial Intelligence, Machine Learning, or a related technical field preferred. Bachelor's degree with equivalent experience will also be considered.
- 2–5 years of professional software engineering experience.
- Experience developing and deploying AI or machine learning applications in production environments.
- Financial services or investment management industry experience is a plus.
- Excellent analytical, communication, and problem-solving skills.
- Ability to thrive in a collaborative, fast-paced environment.Technical Skills
- Expert-level Python development.
- Strong experience with JavaScript and Java.
- Solid understanding of machine learning concepts including regression, classification, clustering, and deep learning.
- Experience with PyTorch or comparable deep learning frameworks.
- Hands-on experience with AWS AI and cloud services.
- Experience with Docker, Kubernetes, ECS, or similar container orchestration technologies.
- Strong understanding of software architecture, algorithms, and data structures.
- Experience building AI agents, agentic workflows, Model Context Protocol (MCP) implementations, or multi-agent systems.
- Familiarity with modern AI development tools such as Claude Code, Codex, Cursor, or similar AI-assisted development platforms.For immediate consideration, please email your resume to Ryan at Rhult@daleyaa.com with the subject line "Application - AI/ML Software Engineer"&amp;nbsp;
</x:v>
      </x:c>
      <x:c r="AC136" s="68" t="str">
        <x:v>Not Applicable</x:v>
      </x:c>
      <x:c r="AD136" s="68" t="str">
        <x:v>Full-time</x:v>
      </x:c>
      <x:c r="AE136" s="68" t="str">
        <x:v>Information Technology</x:v>
      </x:c>
      <x:c r="AF136" s="68" t="str">
        <x:v>Staffing and Recruiting</x:v>
      </x:c>
      <x:c r="AG136" s="68" t="str">
        <x:v>https://www.linkedin.com/jobs/search/?position=1&amp;pageNum=0&amp;keywords=AI+Engineer&amp;location=United+States&amp;distance=0&amp;f_TPR=r604800</x:v>
      </x:c>
      <x:c r="AH136" s="68" t="str">
        <x:v>{'type': 'PostalAddress', 'streetAddress': 'One Financial Center', 'addressLocality': 'Boston', 'addressRegion': 'MA', 'postalCode': '02111', 'addressCountry': 'US'}</x:v>
      </x:c>
      <x:c r="AI136" s="68" t="str">
        <x:v>https://www.daleyaa.com/</x:v>
      </x:c>
      <x:c r="AJ136" s="68" t="str">
        <x:v>Exceptional talent. Exceptional results.</x:v>
      </x:c>
      <x:c r="AK136" s="68" t="str">
        <x:v>Daley and Associates is a boutique executive search and contract staffing firm specializing in the placement of Accounting, Finance, Information Technology, Legal, Administrative and Life Sciences professionals. We are a customer driven company and tailor every search and placement to the unique needs of every client.  Daley and Associates works with some of the most prominent businesses in the greater Boston area ranging from promising start-ups to Fortune 100 companies.</x:v>
      </x:c>
      <x:c r="AL136" s="68" t="str">
        <x:v>100.0</x:v>
      </x:c>
      <x:c r="AM136" s="68"/>
      <x:c r="AN136" s="68"/>
      <x:c r="AO136" s="68"/>
      <x:c r="AP136" s="68"/>
    </x:row>
    <x:row r="137" s="25" customFormat="1" ht="22" customHeight="1">
      <x:c r="A137" s="68" t="str">
        <x:v>4450151307</x:v>
      </x:c>
      <x:c r="B137" s="68" t="str">
        <x:v>Python AI Engineer</x:v>
      </x:c>
      <x:c r="C137" s="68" t="str">
        <x:v>Wise Skulls</x:v>
      </x:c>
      <x:c r="D137" s="68" t="str">
        <x:v>Mount Laurel, NJ</x:v>
      </x:c>
      <x:c r="E137" s="68" t="str">
        <x:v>Not Applied</x:v>
      </x:c>
      <x:c r="F137" s="68"/>
      <x:c r="G137" s="69"/>
      <x:c r="H137" s="85" t="str">
        <x:v>2026-08-12</x:v>
      </x:c>
      <x:c r="I137" s="85" t="str">
        <x:v>2026-08-12 13:18:49</x:v>
      </x:c>
      <x:c r="J137" s="68" t="str">
        <x:v>122</x:v>
      </x:c>
      <x:c r="K137" s="70"/>
      <x:c r="L137" s="86"/>
      <x:c r="M137" s="87"/>
      <x:c r="N137" s="71"/>
      <x:c r="O137" s="88"/>
      <x:c r="P137" s="89"/>
      <x:c r="Q137" s="89"/>
      <x:c r="R137" s="89"/>
      <x:c r="S137" s="73"/>
      <x:c r="T137" s="68"/>
      <x:c r="U137" s="68" t="str">
        <x:v>https://www.linkedin.com/jobs/view/python-ai-engineer-at-wise-skulls-4450151307?position=35&amp;pageNum=0&amp;refId=7cQDupwnUIWTR2NYcM6GGg%3D%3D&amp;trackingId=wfYQlXVI%2B%2BMkE0jag8K8Hw%3D%3D</x:v>
      </x:c>
      <x:c r="V137" s="68" t="str">
        <x:v>wfYQlXVI++MkE0jag8K8Hw==</x:v>
      </x:c>
      <x:c r="W137" s="68" t="str">
        <x:v>7cQDupwnUIWTR2NYcM6GGg==</x:v>
      </x:c>
      <x:c r="X137" s="68" t="str">
        <x:v>https://www.linkedin.com/company/wearewiseskulls?trk=public_jobs_jserp-result_job-search-card-subtitle</x:v>
      </x:c>
      <x:c r="Y137" s="68" t="str">
        <x:v>https://media.licdn.com/dms/image/v2/D560BAQFPO-9zPmptEw/company-logo_100_100/company-logo_100_100/0/1686585510182/wearewiseskulls_logo?e=2147483647&amp;v=beta&amp;t=Ini0ILwaWGmwEzvQFJDfOrP_JNMugERbz22jJ_E0U8M</x:v>
      </x:c>
      <x:c r="Z137" s="68"/>
      <x:c r="AA137" s="68" t="str">
        <x:v>&lt;p&gt;&lt;strong&gt;Hiring: &lt;/strong&gt;Python AI Engineer&lt;/p&gt;&lt;p&gt;&lt;br&gt;&lt;/p&gt;&lt;p&gt;&lt;strong&gt;Important&lt;/strong&gt;&lt;/p&gt;&lt;p&gt;Visa: USC and GC only&lt;/p&gt;&lt;p&gt;&lt;strong&gt;Location: &lt;/strong&gt;Mount Laurel, NJ (Hybrid)&lt;/p&gt;&lt;p&gt;&lt;br&gt;&lt;/p&gt;&lt;p&gt;&lt;strong&gt;JD&lt;/strong&gt;&lt;/p&gt;&lt;p&gt;&lt;br&gt;&lt;/p&gt;&lt;p&gt;&lt;strong&gt;Key Responsibilities&lt;/strong&gt;&lt;/p&gt;&lt;p&gt;Must - Python (familiarity with asynchronous frameworks like FastAPI).&lt;/p&gt;&lt;p&gt;Good to have - Go, TypeScript&lt;/p&gt;&lt;p&gt;Good understanding of - REST, gRPC, and event-driven architectures&lt;/p&gt;&lt;p&gt;Databases: SQL (PostgreSQL, MySQL) and/or NOSQL databases&lt;/p&gt;&lt;p&gt;&lt;br&gt;&lt;/p&gt;&lt;p&gt;AI Skills:&lt;/p&gt;&lt;p&gt;Have prior knowledge &amp;amp; hands on Experience with -&lt;/p&gt;&lt;p&gt;Building production-ready AI services and APIs using Python LLM integration Prompt engineering frameworks RAG (Retrieval-Augmented Generation) pipelines Vector databases Agentic AI workflows AI orchestration frameworks Model serving and inference&lt;/p&gt;&lt;p&gt;&lt;br&gt;&lt;/p&gt;&lt;p&gt;&lt;br&gt;&lt;/p&gt;&lt;p&gt;&lt;strong&gt;Interested? Apply now or DM us to explore this opportunity! You can share resumes at arif.g@wiseskulls.com&lt;/strong&gt;&lt;/p&gt;</x:v>
      </x:c>
      <x:c r="AB137" s="68" t="str">
        <x:v>
Hiring: Python AI Engineer
Important
Visa: USC and GC only
Location: Mount Laurel, NJ (Hybrid)
JD
Key Responsibilities
Must - Python (familiarity with asynchronous frameworks like FastAPI).
Good to have - Go, TypeScript
Good understanding of - REST, gRPC, and event-driven architectures
Databases: SQL (PostgreSQL, MySQL) and/or NOSQL databases
AI Skills:
Have prior knowledge &amp;amp; hands on Experience with -
Building production-ready AI services and APIs using Python LLM integration Prompt engineering frameworks RAG (Retrieval-Augmented Generation) pipelines Vector databases Agentic AI workflows AI orchestration frameworks Model serving and inference
Interested? Apply now or DM us to explore this opportunity! You can share resumes at arif.g@wiseskulls.com</x:v>
      </x:c>
      <x:c r="AC137" s="68" t="str">
        <x:v>Mid-Senior level</x:v>
      </x:c>
      <x:c r="AD137" s="68" t="str">
        <x:v>Contract</x:v>
      </x:c>
      <x:c r="AE137" s="68"/>
      <x:c r="AF137" s="68" t="str">
        <x:v>Information Services</x:v>
      </x:c>
      <x:c r="AG137" s="68" t="str">
        <x:v>https://www.linkedin.com/jobs/search/?position=1&amp;pageNum=0&amp;keywords=AI+Engineer&amp;location=United+States&amp;distance=0&amp;f_TPR=r604800</x:v>
      </x:c>
      <x:c r="AH137" s="68" t="str">
        <x:v>{'type': 'PostalAddress', 'streetAddress': '69 Omega Dr', 'addressLocality': 'Newark', 'addressRegion': 'Delaware', 'postalCode': '19713', 'addressCountry': 'US'}</x:v>
      </x:c>
      <x:c r="AI137" s="68" t="str">
        <x:v>http://www.wiseskulls.com</x:v>
      </x:c>
      <x:c r="AJ137" s="68" t="str">
        <x:v>Empowering Talent, Connecting Excellence!</x:v>
      </x:c>
      <x:c r="AK137" s="68" t="str">
        <x:v>Since 2019, Wise Skulls has been redefining the landscape of contractual staffing by connecting exceptional talent with industry-leading opportunities. Specializing in the IT sector and expanding into diverse industries, we help build impactful careers and high-performing teams.
Our mission is clear: to align the right people with the right roles while fostering long-term success for individuals and organizations alike. By leveraging cutting-edge technology, industry expertise, and a deep understanding of both on-site and remote work dynamics, we provide staffing solutions that go beyond filling positions and create pathways to growth and innovation.
At Wise Skulls, we aspire to set new benchmarks for efficiency and excellence in staffing. Our vision is to become the go-to platform for contractual hiring, empowering professionals to achieve their career aspirations and enabling businesses to thrive with dynamic teams.
Join us on LinkedIn to explore how we are shaping the future of staffing and creating opportunities that drive success. Wise Skulls is where talent meets opportunity and teams are built to excel.</x:v>
      </x:c>
      <x:c r="AL137" s="68" t="str">
        <x:v>55.0</x:v>
      </x:c>
      <x:c r="AM137" s="68" t="str">
        <x:v>Taukir Pathan</x:v>
      </x:c>
      <x:c r="AN137" s="68" t="str">
        <x:v>Team Lead at Wise Skulls</x:v>
      </x:c>
      <x:c r="AO137" s="68" t="str">
        <x:v>https://media.licdn.com/dms/image/v2/D4D03AQEFGUSgcC9rQA/profile-displayphoto-shrink_400_400/profile-displayphoto-shrink_400_400/0/1692796139627?e=2147483647&amp;v=beta&amp;t=Z9Rgs1jll8FoBAG6jg74FkVG39ZHt1febVqvo20LAvE</x:v>
      </x:c>
      <x:c r="AP137" s="68" t="str">
        <x:v>https://in.linkedin.com/in/taukir-pathan</x:v>
      </x:c>
    </x:row>
    <x:row r="138" s="25" customFormat="1" ht="22" customHeight="1">
      <x:c r="A138" s="68" t="str">
        <x:v>4383207127</x:v>
      </x:c>
      <x:c r="B138" s="68" t="str">
        <x:v>AI Engineer</x:v>
      </x:c>
      <x:c r="C138" s="68" t="str">
        <x:v>Suffolk Construction</x:v>
      </x:c>
      <x:c r="D138" s="68" t="str">
        <x:v>Boston, MA</x:v>
      </x:c>
      <x:c r="E138" s="68" t="str">
        <x:v>Not Applied</x:v>
      </x:c>
      <x:c r="F138" s="68"/>
      <x:c r="G138" s="69"/>
      <x:c r="H138" s="85" t="str">
        <x:v>2026-08-08</x:v>
      </x:c>
      <x:c r="I138" s="85" t="str">
        <x:v>2026-08-12 13:18:49</x:v>
      </x:c>
      <x:c r="J138" s="68" t="str">
        <x:v>200</x:v>
      </x:c>
      <x:c r="K138" s="70"/>
      <x:c r="L138" s="86"/>
      <x:c r="M138" s="87"/>
      <x:c r="N138" s="71"/>
      <x:c r="O138" s="88"/>
      <x:c r="P138" s="89"/>
      <x:c r="Q138" s="89"/>
      <x:c r="R138" s="89"/>
      <x:c r="S138" s="73"/>
      <x:c r="T138" s="68"/>
      <x:c r="U138" s="68" t="str">
        <x:v>https://www.linkedin.com/jobs/view/ai-engineer-at-suffolk-construction-4383207127?position=28&amp;pageNum=0&amp;refId=7cQDupwnUIWTR2NYcM6GGg%3D%3D&amp;trackingId=mle9BxugC1s%2BfiA6gDmhIA%3D%3D</x:v>
      </x:c>
      <x:c r="V138" s="68" t="str">
        <x:v>mle9BxugC1s+fiA6gDmhIA==</x:v>
      </x:c>
      <x:c r="W138" s="68" t="str">
        <x:v>7cQDupwnUIWTR2NYcM6GGg==</x:v>
      </x:c>
      <x:c r="X138" s="68" t="str">
        <x:v>https://www.linkedin.com/company/suffolk-construction?trk=public_jobs_jserp-result_job-search-card-subtitle</x:v>
      </x:c>
      <x:c r="Y138" s="68" t="str">
        <x:v>https://media.licdn.com/dms/image/v2/D4E0BAQHZIbANlnVZJw/company-logo_100_100/company-logo_100_100/0/1697034811445/suffolk_construction_logo?e=2147483647&amp;v=beta&amp;t=Rqzz7g1d1JnNWkfZj5G1PEV-5AiXHg8VoFr2armfzyY</x:v>
      </x:c>
      <x:c r="Z138" s="68"/>
      <x:c r="AA138" s="68" t="str">
        <x:v>&lt;strong&gt;Overview&lt;br&gt;&lt;br&gt;&lt;/strong&gt;&lt;strong&gt;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Future.”&lt;br&gt;&lt;br&gt;The AI Engineer (AI Studio) builds the foundation that enables jobsite AI to scale. You’ll focus on technical excellence, platform reliability, and scalable agent frameworks, enabling field teams to transform how construction projects are executed.&lt;br&gt;&lt;br&gt;&lt;strong&gt;Responsibilities&lt;br&gt;&lt;br&gt;&lt;/strong&gt;&lt;strong&gt;AI Product Engineering &amp;amp; Deployment&lt;br&gt;&lt;br&gt;&lt;/strong&gt;&lt;ul&gt;&lt;li&gt; Translate product requirements and user stories into production-grade AI solutions using AWS Bedrock, Lambda, ECS/EKS, and Databricks. &lt;/li&gt;&lt;li&gt; Implement RAG pipelines with Delta tables, Unity Catalog, and Vector Search. &lt;/li&gt;&lt;li&gt; Design and deploy multi-model agents that dynamically select between LLMs (Claude, GPT, Llama, Titan, etc.) based on task context, cost, and latency. &lt;/li&gt;&lt;li&gt; Implement multi-agent orchestration frameworks enabling collaboration among specialized agents (e.g., data retriever, planner, summarizer, and action executor) for complex construction workflows. &lt;/li&gt;&lt;li&gt; Own full lifecycle delivery — design, development, testing, deployment, monitoring, and maintenance. &lt;br&gt;&lt;br&gt;&lt;/li&gt;&lt;/ul&gt;&lt;strong&gt;Full-Stack &amp;amp; Backend Development&lt;br&gt;&lt;br&gt;&lt;/strong&gt;&lt;ul&gt;&lt;li&gt; Build APIs, backend services, and agentic workflows using Python, FastAPI, LangChain, and AWS SDKs. &lt;/li&gt;&lt;li&gt; Create reusable connectors and orchestration layers for multi-model agents (Claude, GPT, Llama, etc.). &lt;/li&gt;&lt;li&gt; Develop front-end integrations for Teams and web SPAs via REST or GraphQL endpoints. &lt;br&gt;&lt;br&gt;&lt;/li&gt;&lt;/ul&gt;&lt;strong&gt;Data Engineering &amp;amp; Integration&lt;br&gt;&lt;br&gt;&lt;/strong&gt;&lt;ul&gt;&lt;li&gt; Partner with Data Engineering to design robust ETL/ELT pipelines from enterprise systems to the Databricks Lakehouse. &lt;/li&gt;&lt;li&gt; Ensure efficient data access, caching, and vectorization for low-latency AI response. &lt;/li&gt;&lt;li&gt; Build tools to monitor and improve data quality, latency, and observability. &lt;br&gt;&lt;br&gt;&lt;/li&gt;&lt;/ul&gt;&lt;strong&gt;DevOps &amp;amp; Platform Automation&lt;br&gt;&lt;br&gt;&lt;/strong&gt;&lt;ul&gt;&lt;li&gt; Use Terraform, AWS CDK, and GitHub Actions to automate infrastructure and deployments. &lt;/li&gt;&lt;li&gt; Implement LLMOps: cost monitoring, latency optimization, usage analytics, and model versioning. &lt;/li&gt;&lt;li&gt; Enforce security, governance, and access standards in line with enterprise policies. &lt;br&gt;&lt;br&gt;&lt;/li&gt;&lt;/ul&gt;&lt;strong&gt;Collaboration &amp;amp; Communication&lt;br&gt;&lt;br&gt;&lt;/strong&gt;&lt;ul&gt;&lt;li&gt; Work closely with product managers, site AI engineers, and data scientists to iterate rapidly in Agile sprints. &lt;/li&gt;&lt;li&gt; Communicate technical progress clearly to non-technical stakeholders; contribute to internal AI playbooks and templates. &lt;br&gt;&lt;br&gt;&lt;br&gt;&lt;/li&gt;&lt;/ul&gt;&lt;strong&gt;Qualifications&lt;br&gt;&lt;br&gt;&lt;/strong&gt;&lt;ul&gt;&lt;li&gt; 4-6 years of professional software development experience on AWS, with 2+ years focused on AI/ML engineering (LLMs, RAG, Bedrock, or similar). Strong coding proficiency in Python (LangChain, FastAPI, boto3) and solid experience with SQL, Databricks, and vector databases. &lt;/li&gt;&lt;li&gt; Experience designing and deploying production systems using AWS Lambda, ECS/EKS, API Gateway, Step Functions, S3, CloudFront, and KMS. &lt;/li&gt;&lt;li&gt; Strong foundation in CI/CD, IaC (Terraform/CDK), and GitHub Actions &lt;/li&gt;&lt;li&gt; Experience training, retraining and performing transfer learning on ML models desirable. &lt;/li&gt;&lt;li&gt; Bachelor’s in Computer Science, Engineering, Physics, or a related field; Master’s preferred. &lt;/li&gt;&lt;li&gt; Prior hands-on work in construction or heavy process industries (manufacturing, oil &amp;amp; gas, chemicals) is a significant plus. &lt;/li&gt;&lt;li&gt; Excellent collaboration and communication skills — able to work cross-functionally but not dependent on business-side facilitation. &lt;/li&gt;&lt;li&gt; Integration &amp;amp; ETL skills: Foundational understanding of ETL/ELT design, Airflow or Databricks Workflows, and REST/GraphQL API development; proven collaboration with Data Engineering on source-to-lake and lake-to-agent pipelines. &lt;br&gt;&lt;br&gt;&lt;/li&gt;&lt;/ul&gt;#SUFFOLKHIRING&lt;br&gt;&lt;br&gt;&lt;strong&gt;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v>
      </x:c>
      <x:c r="AB138" s="68" t="str">
        <x:v>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
The AI Engineer (AI Studio) builds the foundation that enables jobsite AI to scale. You’ll focus on technical excellence, platform reliability, and scalable agent frameworks, enabling field teams to transform how construction projects are executed.
Responsibilities
AI Product Engineering &amp;amp; Deployment
-  Translate product requirements and user stories into production-grade AI solutions using AWS Bedrock, Lambda, ECS/EKS, and Databricks. 
-  Implement RAG pipelines with Delta tables, Unity Catalog, and Vector Search. 
-  Design and deploy multi-model agents that dynamically select between LLMs (Claude, GPT, Llama, Titan, etc.) based on task context, cost, and latency. 
-  Implement multi-agent orchestration frameworks enabling collaboration among specialized agents (e.g., data retriever, planner, summarizer, and action executor) for complex construction workflows. 
-  Own full lifecycle delivery — design, development, testing, deployment, monitoring, and maintenance. 
Full-Stack &amp;amp; Backend Development
-  Build APIs, backend services, and agentic workflows using Python, FastAPI, LangChain, and AWS SDKs. 
-  Create reusable connectors and orchestration layers for multi-model agents (Claude, GPT, Llama, etc.). 
-  Develop front-end integrations for Teams and web SPAs via REST or GraphQL endpoints. 
Data Engineering &amp;amp; Integration
-  Partner with Data Engineering to design robust ETL/ELT pipelines from enterprise systems to the Databricks Lakehouse. 
-  Ensure efficient data access, caching, and vectorization for low-latency AI response. 
-  Build tools to monitor and improve data quality, latency, and observability. 
DevOps &amp;amp; Platform Automation
-  Use Terraform, AWS CDK, and GitHub Actions to automate infrastructure and deployments. 
-  Implement LLMOps: cost monitoring, latency optimization, usage analytics, and model versioning. 
-  Enforce security, governance, and access standards in line with enterprise policies. 
Collaboration &amp;amp; Communication
-  Work closely with product managers, site AI engineers, and data scientists to iterate rapidly in Agile sprints. 
-  Communicate technical progress clearly to non-technical stakeholders; contribute to internal AI playbooks and templates. 
Qualifications
-  4-6 years of professional software development experience on AWS, with 2+ years focused on AI/ML engineering (LLMs, RAG, Bedrock, or similar). Strong coding proficiency in Python (LangChain, FastAPI, boto3) and solid experience with SQL, Databricks, and vector databases. 
-  Experience designing and deploying production systems using AWS Lambda, ECS/EKS, API Gateway, Step Functions, S3, CloudFront, and KMS. 
-  Strong foundation in CI/CD, IaC (Terraform/CDK), and GitHub Actions 
-  Experience training, retraining and performing transfer learning on ML models desirable. 
-  Bachelor’s in Computer Science, Engineering, Physics, or a related field; Master’s preferred. 
-  Prior hands-on work in construction or heavy process industries (manufacturing, oil &amp;amp; gas, chemicals) is a significant plus. 
-  Excellent collaboration and communication skills — able to work cross-functionally but not dependent on business-side facilitation. 
-  Integration &amp;amp; ETL skills: Foundational understanding of ETL/ELT design, Airflow or Databricks Workflows, and REST/GraphQL API development; proven collaboration with Data Engineering on source-to-lake and lake-to-agent pipelines.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v>
      </x:c>
      <x:c r="AC138" s="68" t="str">
        <x:v>Associate</x:v>
      </x:c>
      <x:c r="AD138" s="68" t="str">
        <x:v>Full-time</x:v>
      </x:c>
      <x:c r="AE138" s="68" t="str">
        <x:v>Engineering and Information Technology</x:v>
      </x:c>
      <x:c r="AF138" s="68" t="str">
        <x:v>Construction and Civil Engineering</x:v>
      </x:c>
      <x:c r="AG138" s="68" t="str">
        <x:v>https://www.linkedin.com/jobs/search/?position=1&amp;pageNum=0&amp;keywords=AI+Engineer&amp;location=United+States&amp;distance=0&amp;f_TPR=r604800</x:v>
      </x:c>
      <x:c r="AH138" s="68" t="str">
        <x:v>{'type': 'PostalAddress', 'streetAddress': '65 Allerton Street', 'addressLocality': 'Boston', 'addressRegion': 'Massachusetts', 'postalCode': '02119', 'addressCountry': 'US'}</x:v>
      </x:c>
      <x:c r="AI138" s="68" t="str">
        <x:v>http://www.suffolk.com</x:v>
      </x:c>
      <x:c r="AJ138" s="68" t="str">
        <x:v>America's Contractor</x:v>
      </x:c>
      <x:c r="AK138" s="68" t="str">
        <x:v>Suffolk is a national enterprise that builds, innovates and invests. Suffolk is an end-to-end business that delivers value across the entire project lifecycle by leveraging its core construction management services with vertical service lines that include design, self-perform construction services, technology start-up investment (Suffolk Technologies), supply chain management, and innovation research and development focused on advancing AI and data-driven solutions that will redefine the way America builds.
Suffolk – America’s Contractor – is a national company with more than $10 billion in annual revenue, 3,500 employees, and offices in Boston (headquarters); New York City and Westchester County, New York; Estero, Miami, Tampa and West Palm Beach, Florida; Dallas; Los Angeles, Milpitas, San Francisco and San Diego, California; Las Vegas; Portland, Maine; New Haven, Connecticut; Herndon, Virginia; and Salt Lake City. 
Suffolk manages some of the most complex, sophisticated projects in the country, serving clients in every major industry sector, including healthcare, life sciences, education, gaming, transportation/aviation, government and public work, mission critical, advanced technology and commercial. Suffolk is privately held and is led by Founder, Chairman and CEO John Fish. Suffolk is ranked #8 on ENR’s list of “Largest Domestic Builders” and #10 on its list of “Top CM-at-Risk Contractors.” For more information, visit www.suffolk.com.</x:v>
      </x:c>
      <x:c r="AL138" s="68" t="str">
        <x:v>3126.0</x:v>
      </x:c>
      <x:c r="AM138" s="68"/>
      <x:c r="AN138" s="68"/>
      <x:c r="AO138" s="68"/>
      <x:c r="AP138" s="68"/>
    </x:row>
    <x:row r="139" s="25" customFormat="1" ht="22" customHeight="1">
      <x:c r="A139" s="68" t="str">
        <x:v>4453046430</x:v>
      </x:c>
      <x:c r="B139" s="68" t="str">
        <x:v>AI/ML Engineer</x:v>
      </x:c>
      <x:c r="C139" s="68" t="str">
        <x:v>Slalom</x:v>
      </x:c>
      <x:c r="D139" s="68" t="str">
        <x:v>Miami, FL</x:v>
      </x:c>
      <x:c r="E139" s="68" t="str">
        <x:v>Not Applied</x:v>
      </x:c>
      <x:c r="F139" s="68"/>
      <x:c r="G139" s="69"/>
      <x:c r="H139" s="85" t="str">
        <x:v>2026-08-12</x:v>
      </x:c>
      <x:c r="I139" s="85" t="str">
        <x:v>2026-08-12 13:18:49</x:v>
      </x:c>
      <x:c r="J139" s="68" t="str">
        <x:v>26</x:v>
      </x:c>
      <x:c r="K139" s="70"/>
      <x:c r="L139" s="86"/>
      <x:c r="M139" s="87"/>
      <x:c r="N139" s="71"/>
      <x:c r="O139" s="88"/>
      <x:c r="P139" s="89"/>
      <x:c r="Q139" s="89"/>
      <x:c r="R139" s="89"/>
      <x:c r="S139" s="73"/>
      <x:c r="T139" s="68"/>
      <x:c r="U139" s="68" t="str">
        <x:v>https://www.linkedin.com/jobs/view/ai-ml-engineer-at-slalom-4453046430?position=26&amp;pageNum=0&amp;refId=7cQDupwnUIWTR2NYcM6GGg%3D%3D&amp;trackingId=%2BI2eYefh%2FuNBJAZuIPN7qQ%3D%3D</x:v>
      </x:c>
      <x:c r="V139" s="68" t="str">
        <x:v>+I2eYefh/uNBJAZuIPN7qQ==</x:v>
      </x:c>
      <x:c r="W139" s="68" t="str">
        <x:v>7cQDupwnUIWTR2NYcM6GGg==</x:v>
      </x:c>
      <x:c r="X139" s="68" t="str">
        <x:v>https://www.linkedin.com/company/slalom-consulting?trk=public_jobs_jserp-result_job-search-card-subtitle</x:v>
      </x:c>
      <x:c r="Y139" s="68" t="str">
        <x:v>https://media.licdn.com/dms/image/v2/D560BAQG5l3nKnBCEWA/company-logo_100_100/company-logo_100_100/0/1719861816497/slalom_consulting_logo?e=2147483647&amp;v=beta&amp;t=RMKFTGulqo2H4IUgFNTlPiYXXVPaHpsYx0MSR67KaB0</x:v>
      </x:c>
      <x:c r="Z139" s="68"/>
      <x:c r="AA139" s="68" t="str">
        <x:v>&lt;p&gt;&lt;strong&gt;&lt;span&gt;AI/ML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x:v>
      </x:c>
      <x:c r="AB139" s="68" t="str">
        <x:v>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x:v>
      </x:c>
      <x:c r="AC139" s="68" t="str">
        <x:v>Not Applicable</x:v>
      </x:c>
      <x:c r="AD139" s="68" t="str">
        <x:v>Full-time</x:v>
      </x:c>
      <x:c r="AE139" s="68" t="str">
        <x:v>Engineering and Information Technology</x:v>
      </x:c>
      <x:c r="AF139" s="68" t="str">
        <x:v>Business Consulting and Services</x:v>
      </x:c>
      <x:c r="AG139" s="68" t="str">
        <x:v>https://www.linkedin.com/jobs/search/?position=1&amp;pageNum=0&amp;keywords=AI+Engineer&amp;location=United+States&amp;distance=0&amp;f_TPR=r604800</x:v>
      </x:c>
      <x:c r="AH139" s="68" t="str">
        <x:v>{'type': 'PostalAddress', 'streetAddress': '821 2nd Ave.', 'addressLocality': 'Seattle', 'addressRegion': 'WA', 'postalCode': '98104', 'addressCountry': 'US'}</x:v>
      </x:c>
      <x:c r="AI139" s="68" t="str">
        <x:v>https://www.slalom.com/</x:v>
      </x:c>
      <x:c r="AJ139" s="68" t="str">
        <x:v>Dream big. Build now.</x:v>
      </x:c>
      <x:c r="AK139" s="68" t="str">
        <x:v>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v>
      </x:c>
      <x:c r="AL139" s="68" t="str">
        <x:v>10210.0</x:v>
      </x:c>
      <x:c r="AM139" s="68"/>
      <x:c r="AN139" s="68"/>
      <x:c r="AO139" s="68"/>
      <x:c r="AP139" s="68"/>
    </x:row>
    <x:row r="140" s="25" customFormat="1" ht="22" customHeight="1">
      <x:c r="A140" s="68" t="str">
        <x:v>4424952237</x:v>
      </x:c>
      <x:c r="B140" s="68" t="str">
        <x:v>Mid Level AI Engineer</x:v>
      </x:c>
      <x:c r="C140" s="68" t="str">
        <x:v>Capco</x:v>
      </x:c>
      <x:c r="D140" s="68" t="str">
        <x:v>Orlando, FL</x:v>
      </x:c>
      <x:c r="E140" s="68" t="str">
        <x:v>In Progress</x:v>
      </x:c>
      <x:c r="F140" s="68" t="str">
        <x:v>linkedin</x:v>
      </x:c>
      <x:c r="G140" s="69"/>
      <x:c r="H140" s="85" t="str">
        <x:v>2026-08-09</x:v>
      </x:c>
      <x:c r="I140" s="85" t="str">
        <x:v>2026-08-12 13:18:49</x:v>
      </x:c>
      <x:c r="J140" s="68" t="str">
        <x:v>200</x:v>
      </x:c>
      <x:c r="K140" s="70"/>
      <x:c r="L140" s="86" t="n">
        <x:v>46247.3918935512</x:v>
      </x:c>
      <x:c r="M140" s="87" t="n">
        <x:v>46247.40615458222</x:v>
      </x:c>
      <x:c r="N140" s="71" t="n">
        <x:v>1232.148</x:v>
      </x:c>
      <x:c r="O140" s="88" t="n">
        <x:v>54</x:v>
      </x:c>
      <x:c r="P140" s="89" t="n">
        <x:v>0.07475307</x:v>
      </x:c>
      <x:c r="Q140" s="89"/>
      <x:c r="R140" s="89"/>
      <x:c r="S140" s="73" t="str">
        <x:v>failed</x:v>
      </x:c>
      <x:c r="T140" s="68"/>
      <x:c r="U140" s="68" t="str">
        <x:v>https://www.linkedin.com/jobs/view/mid-level-ai-engineer-at-capco-4424952237?position=32&amp;pageNum=0&amp;refId=7cQDupwnUIWTR2NYcM6GGg%3D%3D&amp;trackingId=hZbsgG05buTpH0EuysuWWQ%3D%3D</x:v>
      </x:c>
      <x:c r="V140" s="68" t="str">
        <x:v>hZbsgG05buTpH0EuysuWWQ==</x:v>
      </x:c>
      <x:c r="W140" s="68" t="str">
        <x:v>7cQDupwnUIWTR2NYcM6GGg==</x:v>
      </x:c>
      <x:c r="X140" s="68" t="str">
        <x:v>https://uk.linkedin.com/company/capco?trk=public_jobs_jserp-result_job-search-card-subtitle</x:v>
      </x:c>
      <x:c r="Y140" s="68" t="str">
        <x:v>https://media.licdn.com/dms/image/v2/D4E0BAQFVit2NSNt1Fg/company-logo_100_100/B4EZ6yBRRFKoAM-/0/1781103138079/capco_logo?e=2147483647&amp;v=beta&amp;t=NafRcF2jMksdjJ9q2JCeI-cC_x1zZ0daMVjAxctRqO0</x:v>
      </x:c>
      <x:c r="Z140" s="68"/>
      <x:c r="AA140" s="68" t="str">
        <x:v>&lt;strong&gt;Location:&lt;/strong&gt; Orlando, FL, USA (Hybrid) | &lt;strong&gt;Practice Area:&lt;/strong&gt; Technology &amp;amp; Engineering | &lt;strong&gt;Type:&lt;/strong&gt; Permanent&lt;br&gt;&lt;br&gt;&lt;strong&gt;Build the next generation of AI-powered solutions using Large Language Models, agentic systems, and cutting-edge Generative AI technologies.&lt;br&gt;&lt;br&gt;&lt;/strong&gt;&lt;strong&gt;The Role&lt;br&gt;&lt;br&gt;&lt;/strong&gt;Capco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experiences.&lt;br&gt;&lt;br&gt;This is an exciting opportunity to join a fast-growing AI capability, working on innovative solutions that transform how organizations leverage Generative AI technologies.&lt;br&gt;&lt;br&gt;&lt;strong&gt;What You’ll Do&lt;br&gt;&lt;br&gt;&lt;/strong&gt;&lt;ul&gt;&lt;li&gt;Design, build, and deploy AI-powered applications using Large Language Models, foundation models, and modern Generative AI frameworks.&lt;/li&gt;&lt;li&gt;Develop and optimize Retrieval-Augmented Generation (RAG) solutions leveraging vector databases and enterprise knowledge sources.&lt;/li&gt;&lt;li&gt;Create intelligent AI agents and workflows capable of interacting with APIs, external tools, and business systems.&lt;/li&gt;&lt;li&gt;Build scalable REST APIs, backend services, and cloud-native architectures to support AI-powered products.&lt;/li&gt;&lt;li&gt;Collaborate with cross-functional teams to translate business requirements into robust, production-ready AI solutions.&lt;br&gt;&lt;br&gt;&lt;/li&gt;&lt;/ul&gt;&lt;strong&gt;What We’re Looking For&lt;br&gt;&lt;br&gt;&lt;/strong&gt;&lt;ul&gt;&lt;li&gt;2–3 years of professional software; AI engineering experience.&lt;/li&gt;&lt;li&gt;Hands-on experience building applications using Generative AI technologies, Large Language Models, and leading LLM providers such as OpenAI, Anthropic, Gemini, Azure OpenAI, or open-source models.&lt;/li&gt;&lt;li&gt;Strong Python development skills with experience building REST APIs, microservices, and scalable backend applications.&lt;/li&gt;&lt;li&gt;Practical experience implementing RAG architectures using vector databases such as Pinecone, Weaviate, Chroma, Qdrant, or FAISS.&lt;/li&gt;&lt;li&gt;Understanding of software engineering best practices including Git, CI/CD, testing, code reviews, and cloud platforms such as AWS, Azure, or Google Cloud.&lt;br&gt;&lt;br&gt;&lt;/li&gt;&lt;/ul&gt;&lt;strong&gt;Bonus Points For&lt;br&gt;&lt;br&gt;&lt;/strong&gt;&lt;ul&gt;&lt;li&gt;Experience building multi-agent AI systems using frameworks such as LangChain, LangGraph, CrewAI, AutoGen, Semantic Kernel, or similar technologies.&lt;/li&gt;&lt;li&gt;Familiarity with Model Context Protocol (MCP) and emerging agent interoperability standards.&lt;/li&gt;&lt;li&gt;Experience with LLM observability and evaluation platforms such as LangSmith, Langfuse, Arize, or similar tools.&lt;/li&gt;&lt;li&gt;Experience deploying containerized applications using Docker and Kubernetes.&lt;/li&gt;&lt;li&gt;Exposure to frontend technologies such as React, TypeScript, modern web frameworks, or contributions to open-source AI projects.&lt;br&gt;&lt;br&gt;&lt;/li&gt;&lt;/ul&gt;&lt;strong&gt;Why Join Capco&lt;br&gt;&lt;br&gt;&lt;/strong&gt;&lt;ul&gt;&lt;li&gt;Deliver high-impact technology solutions for Tier 1 financial institutions.&lt;/li&gt;&lt;li&gt;Work in a collaborative, flat, and entrepreneurial consulting culture.&lt;/li&gt;&lt;li&gt;Access continuous learning, training, and industry certifications.&lt;/li&gt;&lt;li&gt;Be part of a team shaping the future of digital financial services.&lt;/li&gt;&lt;li&gt;Help shape the future of digital transformation across FS &amp;amp; Energy.&lt;br&gt;&lt;br&gt;&lt;/li&gt;&lt;/ul&gt;&lt;strong&gt;Benefits&lt;br&gt;&lt;br&gt;&lt;/strong&gt;&lt;ul&gt;&lt;li&gt;Medical, Dental, and Vision coverage.&lt;/li&gt;&lt;li&gt;401(k) with company match.&lt;/li&gt;&lt;li&gt;Maternity and paternity leave, plus dependent care support.&lt;/li&gt;&lt;li&gt;Tuition reimbursement, wellness reimbursement, HSA and FSA options.&lt;/li&gt;&lt;li&gt;Commuter benefits and access to the Working Advantage employee discount marketplace.&lt;br&gt;&lt;br&gt;&lt;/li&gt;&lt;/ul&gt;&lt;strong&gt;Inclusion at Capco&lt;br&gt;&lt;br&gt;&lt;/strong&gt;We’re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day.&lt;br&gt;&lt;br&gt;&lt;strong&gt;Use of Artificial Intelligence in Talent Acquisition&lt;br&gt;&lt;br&gt;&lt;/strong&gt;At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coordination.&lt;br&gt;&lt;br&gt;AI is used as a support tool only. All hiring decisions are made by talent acquisition and hiring teams.&lt;br&gt;&lt;br&gt;We have been informed of several recruitment scams targeting the public. We strongly advise you to verify identities before engaging in recruitment related communication. All official Capco communication will be conducted via a Capco recruiter.&lt;br&gt;&lt;br&gt;</x:v>
      </x:c>
      <x:c r="AB140" s="68" t="str">
        <x:v>Location: Orlando, FL, USA (Hybrid) | Practice Area: Technology &amp;amp; Engineering | Type: Permanent
Build the next generation of AI-powered solutions using Large Language Models, agentic systems, and cutting-edge Generative AI technologies.
The Role
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
This is an exciting opportunity to join a fast-growing AI capability, working on innovative solutions that transform how organizations leverage Generative AI technologies.
What You’ll Do
- Design, build, and deploy AI-powered applications using Large Language Models, foundation models, and modern Generative AI frameworks.
- Develop and optimize Retrieval-Augmented Generation (RAG) solutions leveraging vector databases and enterprise knowledge sources.
- Create intelligent AI agents and workflows capable of interacting with APIs, external tools, and business systems.
- Build scalable REST APIs, backend services, and cloud-native architectures to support AI-powered products.
- Collaborate with cross-functional teams to translate business requirements into robust, production-ready AI solutions.
What We’re Looking For
- 2–3 years of professional software; AI engineering experience.
- Hands-on experience building applications using Generative AI technologies, Large Language Models, and leading LLM providers such as OpenAI, Anthropic, Gemini, Azure OpenAI, or open-source models.
- Strong Python development skills with experience building REST APIs, microservices, and scalable backend applications.
- Practical experience implementing RAG architectures using vector databases such as Pinecone, Weaviate, Chroma, Qdrant, or FAISS.
- Understanding of software engineering best practices including Git, CI/CD, testing, code reviews, and cloud platforms such as AWS, Azure, or Google Cloud.
Bonus Points For
- Experience building multi-agent AI systems using frameworks such as LangChain, LangGraph, CrewAI, AutoGen, Semantic Kernel, or similar technologies.
- Familiarity with Model Context Protocol (MCP) and emerging agent interoperability standards.
- Experience with LLM observability and evaluation platforms such as LangSmith, Langfuse, Arize, or similar tools.
- Experience deploying containerized applications using Docker and Kubernetes.
- Exposure to frontend technologies such as React, TypeScript, modern web frameworks, or contributions to open-source AI projects.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&amp;amp; Energy.
Benefits
- Medical, Dental, and Vision coverage.
- 401(k) with company match.
- Maternity and paternity leave, plus dependent care support.
- Tuition reimbursement, wellness reimbursement, HSA and FSA options.
- Commuter benefits and access to the Working Advantage employee discount marketplace.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We have been informed of several recruitment scams targeting the public. We strongly advise you to verify identities before engaging in recruitment related communication. All official Capco communication will be conducted via a Capco recruiter.
</x:v>
      </x:c>
      <x:c r="AC140" s="68" t="str">
        <x:v>Not Applicable</x:v>
      </x:c>
      <x:c r="AD140" s="68" t="str">
        <x:v>Full-time</x:v>
      </x:c>
      <x:c r="AE140" s="68" t="str">
        <x:v>Engineering and Information Technology</x:v>
      </x:c>
      <x:c r="AF140" s="68" t="str">
        <x:v>Financial Services</x:v>
      </x:c>
      <x:c r="AG140" s="68" t="str">
        <x:v>https://www.linkedin.com/jobs/search/?position=1&amp;pageNum=0&amp;keywords=AI+Engineer&amp;location=United+States&amp;distance=0&amp;f_TPR=r604800</x:v>
      </x:c>
      <x:c r="AH140" s="68" t="str">
        <x:v>{'type': 'PostalAddress', 'streetAddress': '77-79 Great Eastern Street', 'addressLocality': 'London', 'addressRegion': 'UK', 'postalCode': 'EC2A 3HU', 'addressCountry': 'GB'}</x:v>
      </x:c>
      <x:c r="AI140" s="68" t="str">
        <x:v>http://www.capco.com</x:v>
      </x:c>
      <x:c r="AJ140" s="68" t="str">
        <x:v>Capco, a Wipro company, is a management &amp; technology consultancy dedicated to the financial services &amp; energy industries</x:v>
      </x:c>
      <x:c r="AK140" s="68" t="str">
        <x:v>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x:v>
      </x:c>
      <x:c r="AL140" s="68" t="str">
        <x:v>8245.0</x:v>
      </x:c>
      <x:c r="AM140" s="68" t="str">
        <x:v>Mike Baio</x:v>
      </x:c>
      <x:c r="AN140" s="68" t="str">
        <x:v>Principal AI Recruiter - Hiring AI Engineers, Architects &amp; Product Engineers | LLMs, RAG, Agentic AI | Financial Services @ Capco</x:v>
      </x:c>
      <x:c r="AO140" s="68" t="str">
        <x:v>https://media.licdn.com/dms/image/v2/D4E03AQEF-AKEBpJgAQ/profile-displayphoto-scale_400_400/B4EZ268TaKJ0Ag-/0/1776957872133?e=2147483647&amp;v=beta&amp;t=BJ72YEFaUD0pycWU1qCJVoBXAVbOqDl8BrBlurcxFL4</x:v>
      </x:c>
      <x:c r="AP140" s="68" t="str">
        <x:v>https://www.linkedin.com/in/mikebaio</x:v>
      </x:c>
    </x:row>
    <x:row r="141" s="25" customFormat="1" ht="22" customHeight="1">
      <x:c r="A141" s="68" t="str">
        <x:v>4419592246</x:v>
      </x:c>
      <x:c r="B141" s="68" t="str">
        <x:v>AI Engineer</x:v>
      </x:c>
      <x:c r="C141" s="68" t="str">
        <x:v>ERGO NEXT Insurance</x:v>
      </x:c>
      <x:c r="D141" s="68" t="str">
        <x:v>Waltham, MA</x:v>
      </x:c>
      <x:c r="E141" s="68" t="str">
        <x:v>Applied</x:v>
      </x:c>
      <x:c r="F141" s="68" t="str">
        <x:v>linkedin</x:v>
      </x:c>
      <x:c r="G141" s="69"/>
      <x:c r="H141" s="85" t="str">
        <x:v>2026-08-12</x:v>
      </x:c>
      <x:c r="I141" s="85" t="str">
        <x:v>2026-08-12 13:18:49</x:v>
      </x:c>
      <x:c r="J141" s="68" t="str">
        <x:v>200</x:v>
      </x:c>
      <x:c r="K141" s="70"/>
      <x:c r="L141" s="86" t="n">
        <x:v>46247.38579739584</x:v>
      </x:c>
      <x:c r="M141" s="87" t="n">
        <x:v>46247.3917927662</x:v>
      </x:c>
      <x:c r="N141" s="71" t="n">
        <x:v>518.017</x:v>
      </x:c>
      <x:c r="O141" s="88" t="n">
        <x:v>38</x:v>
      </x:c>
      <x:c r="P141" s="89" t="n">
        <x:v>0.03056352</x:v>
      </x:c>
      <x:c r="Q141" s="89"/>
      <x:c r="R141" s="89"/>
      <x:c r="S141" s="73" t="str">
        <x:v>completed</x:v>
      </x:c>
      <x:c r="T141" s="68"/>
      <x:c r="U141" s="68" t="str">
        <x:v>https://www.linkedin.com/jobs/view/ai-engineer-at-ergo-next-insurance-4419592246?position=24&amp;pageNum=0&amp;refId=7cQDupwnUIWTR2NYcM6GGg%3D%3D&amp;trackingId=38G4CptwtVMJ4mtUQ998Og%3D%3D</x:v>
      </x:c>
      <x:c r="V141" s="68" t="str">
        <x:v>38G4CptwtVMJ4mtUQ998Og==</x:v>
      </x:c>
      <x:c r="W141" s="68" t="str">
        <x:v>7cQDupwnUIWTR2NYcM6GGg==</x:v>
      </x:c>
      <x:c r="X141" s="68" t="str">
        <x:v>https://www.linkedin.com/company/ergo-next-insurance?trk=public_jobs_jserp-result_job-search-card-subtitle</x:v>
      </x:c>
      <x:c r="Y141" s="68" t="str">
        <x:v>https://media.licdn.com/dms/image/v2/D4E0BAQHJW2GkzpaGVA/company-logo_100_100/B4EZ2c50ErGkAQ-/0/1776453894978/ergo_next_insurance_logo?e=2147483647&amp;v=beta&amp;t=cO3lwbHS0ohkOi3Nov1Qjvz24uOWvB80LPDqvKtyANw</x:v>
      </x:c>
      <x:c r="Z141" s="68"/>
      <x:c r="AA141" s="68" t="str">
        <x:v>&lt;strong&gt;Location: Waltham, MA (hybrid: 3 days in-office)&lt;br&gt;&lt;br&gt;&lt;/strong&gt;ERGO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in.&lt;br&gt;&lt;br&gt;We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work.&lt;br&gt;&lt;br&gt;&lt;strong&gt;Responsibilities&lt;br&gt;&lt;br&gt;&lt;/strong&gt;&lt;ul&gt;&lt;li&gt;Design, implement and optimize backend services that support AI workflows.&lt;/li&gt;&lt;li&gt;Integrate ML and LLM models into production systems with focus on performance, reliability and scalability.&lt;/li&gt;&lt;li&gt;Building and owning AI features end to end.&lt;/li&gt;&lt;li&gt;Evaluating/monitoring AI systems in pre-release/production environments.&lt;/li&gt;&lt;li&gt;Building reliable AI systems and writing production code.&lt;/li&gt;&lt;li&gt;Experience building or maintaining backend services or microservices. &lt;/li&gt;&lt;li&gt;Diagnose complex issues across data pipelines, model serving and backend components. This role focuses on building active APIs, microservices, and real-time serving infrastructure. It is not a Data Engineering role focused on ETL or batch processing pipelines.&lt;/li&gt;&lt;li&gt;Collaborate with product and cross functional teams to refine requirements and translate them into clear technical plans.&lt;/li&gt;&lt;li&gt;Contribute to system design, architecture reviews and code quality improvements.&lt;/li&gt;&lt;li&gt;Support innovation and continuous improvement by identifying opportunities and driving technical initiatives.&lt;br&gt;&lt;br&gt;&lt;/li&gt;&lt;/ul&gt;&lt;strong&gt;Requirements&lt;br&gt;&lt;br&gt;&lt;/strong&gt;&lt;ul&gt;&lt;li&gt;4+ years of backend engineering experience in Python, Go, Java or similar.&lt;/li&gt;&lt;li&gt;Familiarity with evaluating model performance using metrics. &lt;/li&gt;&lt;li&gt;Proven experience building high performance or distributed systems.&lt;/li&gt;&lt;li&gt;4+ years of hands on experience integrating ML or LLM models into production.&lt;/li&gt;&lt;li&gt;Strong understanding of cloud infrastructure, microservices and observability.&lt;/li&gt;&lt;li&gt;Ability to operate effectively under ambiguity and navigate dynamic environments.&lt;/li&gt;&lt;li&gt;Strong communication and collaboration skills.&lt;/li&gt;&lt;li&gt;Hybrid Work Model: This role supports a flexible hybrid work model, requiring a minimum of three days per week on-site in the office, per company policy.&lt;br&gt;&lt;br&gt;&lt;/li&gt;&lt;/ul&gt;&lt;em&gt;&lt;strong&gt;Note on Fraudulent Recruiting&lt;br&gt;&lt;br&gt;&lt;/strong&gt;&lt;/em&gt;&lt;em&gt;We have become aware that there may be fraudulent recruiting attempts being made by people posing as representatives of ERGO Next Insurance. These scams may involve fake job postings, unsolicited emails, or messages claiming to be from our recruiters or hiring managers.&lt;br&gt;&lt;br&gt;Please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accommodations.&lt;br&gt;&lt;br&gt;If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&lt;br&gt;&lt;br&gt;&lt;/em&gt;The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more.&lt;br&gt;&lt;br&gt;&lt;strong&gt;US Annual Base Salary Range For This Full-time Position&lt;br&gt;&lt;br&gt;&lt;/strong&gt;$127,000—$220,000 USD&lt;br&gt;&lt;br&gt;&lt;em&gt;Don’t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roles.&lt;br&gt;&lt;br&gt;&lt;/em&gt;&lt;em&gt;One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training.&lt;/em&gt;</x:v>
      </x:c>
      <x:c r="AB141" s="68" t="str">
        <x:v>Location: Waltham, MA (hybrid: 3 days in-office)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
Responsibilities
- Design, implement and optimize backend services that support AI workflows.
- Integrate ML and LLM models into production systems with focus on performance, reliability and scalability.
- Building and owning AI features end to end.
- Evaluating/monitoring AI systems in pre-release/production environments.
- Building reliable AI systems and writing production code.
- Experience building or maintaining backend services or microservices. 
- Diagnose complex issues across data pipelines, model serving and backend components. This role focuses on building active APIs, microservices, and real-time serving infrastructure. It is not a Data Engineering role focused on ETL or batch processing pipelines.
- Collaborate with product and cross functional teams to refine requirements and translate them into clear technical plans.
- Contribute to system design, architecture reviews and code quality improvements.
- Support innovation and continuous improvement by identifying opportunities and driving technical initiatives.
Requirements
- 4+ years of backend engineering experience in Python, Go, Java or similar.
- Familiarity with evaluating model performance using metrics. 
- Proven experience building high performance or distributed systems.
- 4+ years of hands on experience integrating ML or LLM models into production.
- Strong understanding of cloud infrastructure, microservices and observability.
- Ability to operate effectively under ambiguity and navigate dynamic environments.
- Strong communication and collaboration skills.
- Hybrid Work Model: This role supports a flexible hybrid work model, requiring a minimum of three days per week on-site in the office, per company policy.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$127,000—$220,000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x:v>
      </x:c>
      <x:c r="AC141" s="68" t="str">
        <x:v>Not Applicable</x:v>
      </x:c>
      <x:c r="AD141" s="68" t="str">
        <x:v>Full-time</x:v>
      </x:c>
      <x:c r="AE141" s="68" t="str">
        <x:v>Engineering and Information Technology</x:v>
      </x:c>
      <x:c r="AF141" s="68" t="str">
        <x:v>Insurance</x:v>
      </x:c>
      <x:c r="AG141" s="68" t="str">
        <x:v>https://www.linkedin.com/jobs/search/?position=1&amp;pageNum=0&amp;keywords=AI+Engineer&amp;location=United+States&amp;distance=0&amp;f_TPR=r604800</x:v>
      </x:c>
      <x:c r="AH141" s="68" t="str">
        <x:v>{'type': 'PostalAddress', 'streetAddress': '975 S California Ave', 'addressLocality': 'Palo Alto', 'addressRegion': 'California', 'postalCode': '94306', 'addressCountry': 'US'}</x:v>
      </x:c>
      <x:c r="AI141" s="68" t="str">
        <x:v>https://www.nextinsurance.com/</x:v>
      </x:c>
      <x:c r="AJ141" s="68" t="str">
        <x:v>Small business insurance. Simple because it matters. </x:v>
      </x:c>
      <x:c r="AK141" s="68" t="str">
        <x:v>ERGO NEXT Insurance (formerly NEXT Insurance) is 100% dedicated to small businesses and the self-employed. We provide online small business insurance for over 1,300 professions, from construction to consultants and restaurants. Join more than 750,000 small businesses that trust ERGO NEXT.</x:v>
      </x:c>
      <x:c r="AL141" s="68" t="str">
        <x:v>739.0</x:v>
      </x:c>
      <x:c r="AM141" s="68"/>
      <x:c r="AN141" s="68"/>
      <x:c r="AO141" s="68"/>
      <x:c r="AP141" s="68"/>
    </x:row>
    <x:row r="142" s="25" customFormat="1" ht="22" customHeight="1">
      <x:c r="A142" s="68" t="str">
        <x:v>4451906634</x:v>
      </x:c>
      <x:c r="B142" s="68" t="str">
        <x:v>LLM / GenAI Engineer</x:v>
      </x:c>
      <x:c r="C142" s="68" t="str">
        <x:v>Evlo AI</x:v>
      </x:c>
      <x:c r="D142" s="68" t="str">
        <x:v>New York, NY</x:v>
      </x:c>
      <x:c r="E142" s="68" t="str">
        <x:v>Applied</x:v>
      </x:c>
      <x:c r="F142" s="68" t="str">
        <x:v>linkedin</x:v>
      </x:c>
      <x:c r="G142" s="69"/>
      <x:c r="H142" s="85" t="str">
        <x:v>2026-08-11</x:v>
      </x:c>
      <x:c r="I142" s="85" t="str">
        <x:v>2026-08-12 13:18:49</x:v>
      </x:c>
      <x:c r="J142" s="68" t="str">
        <x:v>200</x:v>
      </x:c>
      <x:c r="K142" s="70"/>
      <x:c r="L142" s="86" t="n">
        <x:v>46247.3776455324</x:v>
      </x:c>
      <x:c r="M142" s="87" t="n">
        <x:v>46247.3857219213</x:v>
      </x:c>
      <x:c r="N142" s="71" t="n">
        <x:v>697.79</x:v>
      </x:c>
      <x:c r="O142" s="88" t="n">
        <x:v>47</x:v>
      </x:c>
      <x:c r="P142" s="89" t="n">
        <x:v>0.04308796</x:v>
      </x:c>
      <x:c r="Q142" s="89"/>
      <x:c r="R142" s="89"/>
      <x:c r="S142" s="73" t="str">
        <x:v>completed</x:v>
      </x:c>
      <x:c r="T142" s="68"/>
      <x:c r="U142" s="68" t="str">
        <x:v>https://www.linkedin.com/jobs/view/llm-genai-engineer-at-evlo-ai-4451906634?position=27&amp;pageNum=0&amp;refId=7cQDupwnUIWTR2NYcM6GGg%3D%3D&amp;trackingId=YjskJhmKL8EV%2BVhwEI6AqQ%3D%3D</x:v>
      </x:c>
      <x:c r="V142" s="68" t="str">
        <x:v>YjskJhmKL8EV+VhwEI6AqQ==</x:v>
      </x:c>
      <x:c r="W142" s="68" t="str">
        <x:v>7cQDupwnUIWTR2NYcM6GGg==</x:v>
      </x:c>
      <x:c r="X142" s="68" t="str">
        <x:v>https://www.linkedin.com/company/evlo-ai?trk=public_jobs_jserp-result_job-search-card-subtitle</x:v>
      </x:c>
      <x:c r="Y142" s="68" t="str">
        <x:v>https://media.licdn.com/dms/image/v2/D560BAQF_OpNqhKfEZg/company-logo_100_100/B56Z75vFBaHIAI-/0/1782306328864/evlo_ai_logo?e=2147483647&amp;v=beta&amp;t=MtsOJcMy_ubIXjyoGkhPH5a-xh5C6JCVnP4EvmjL954</x:v>
      </x:c>
      <x:c r="Z142" s="68"/>
      <x:c r="AA142" s="68" t="str">
        <x:v>&lt;strong&gt;About The Role&lt;br&gt;&lt;br&gt;&lt;/strong&gt;The role is for someone who has moved beyond prompting and understands what it takes to build production-grade AI systems: RAG pipelines, agentic workflows, fine-tuning pipelines, and systematic evaluation frameworks.&lt;br&gt;&lt;br&gt;The team owns complex pieces of an AI platform and works directly with applied scientists, backend engineers, and enterprise clients to deploy high-throughput generative models.&lt;br&gt;&lt;br&gt;&lt;strong&gt;Key Responsibilities&lt;br&gt;&lt;br&gt;&lt;/strong&gt;&lt;ul&gt;&lt;li&gt;Design and implement production-grade RAG pipelines using LangChain, LlamaIndex, or custom distributed architectures&lt;/li&gt;&lt;li&gt;Build and optimize vector database integrations including Pinecone, Weaviate, and pgvector for semantic search at scale&lt;/li&gt;&lt;li&gt;Develop systematic LLM evaluation frameworks incorporating benchmark suites and automated LLM-as-judge pipelines&lt;/li&gt;&lt;li&gt;Run instruction fine-tuning and parameter-efficient fine-tuning operations like LoRA and QLoRA on domain-specific datasets&lt;/li&gt;&lt;li&gt;Optimize model inference latency, throughput, and memory consumption using quantization techniques and vLLM or Triton&lt;/li&gt;&lt;li&gt;Write observable, tested, and well-documented Python code; participate in rigorous architecture reviews&lt;br&gt;&lt;br&gt;&lt;/li&gt;&lt;/ul&gt;&lt;strong&gt;What We Are Looking For&lt;br&gt;&lt;br&gt;&lt;/strong&gt;&lt;ul&gt;&lt;li&gt;3-6 years of software engineering experience, including at least 2 years working specifically with LLMs and generative AI in production environments&lt;/li&gt;&lt;li&gt;Deep familiarity with major LLM orchestration frameworks and vector database technologies&lt;/li&gt;&lt;li&gt;Solid understanding of embedding models, prompt engineering, context window management, and semantic similarity search&lt;/li&gt;&lt;li&gt;Strong Python skills with comfort in async programming, REST API design, and cloud infrastructure on AWS or GCP&lt;/li&gt;&lt;li&gt;Bachelor's degree in Computer Science, Artificial Intelligence, or equivalent practical experience&lt;/li&gt;&lt;li&gt;Bonus: Published research in NLP/AI, contributions to major open-source AI projects, or experience fine-tuning open-source models like Llama and Mistral&lt;/li&gt;&lt;/ul&gt;</x:v>
      </x:c>
      <x:c r="AB142" s="68" t="str">
        <x:v>About The Role
The role is for someone who has moved beyond prompting and understands what it takes to build production-grade AI systems: RAG pipelines, agentic workflows, fine-tuning pipelines, and systematic evaluation frameworks.
The team owns complex pieces of an AI platform and works directly with applied scientists, backend engineers, and enterprise clients to deploy high-throughput generative models.
Key Responsibilities
- Design and implement production-grade RAG pipelines using LangChain, LlamaIndex, or custom distributed architectures
- Build and optimize vector database integrations including Pinecone, Weaviate, and pgvector for semantic search at scale
- Develop systematic LLM evaluation frameworks incorporating benchmark suites and automated LLM-as-judge pipelines
- Run instruction fine-tuning and parameter-efficient fine-tuning operations like LoRA and QLoRA on domain-specific datasets
- Optimize model inference latency, throughput, and memory consumption using quantization techniques and vLLM or Triton
- Write observable, tested, and well-documented Python code; participate in rigorous architecture reviews
What We Are Looking For
- 3-6 years of software engineering experience, including at least 2 years working specifically with LLMs and generative AI in production environments
- Deep familiarity with major LLM orchestration frameworks and vector database technologies
- Solid understanding of embedding models, prompt engineering, context window management, and semantic similarity search
- Strong Python skills with comfort in async programming, REST API design, and cloud infrastructure on AWS or GCP
- Bachelor's degree in Computer Science, Artificial Intelligence, or equivalent practical experience
- Bonus: Published research in NLP/AI, contributions to major open-source AI projects, or experience fine-tuning open-source models like Llama and Mistral</x:v>
      </x:c>
      <x:c r="AC142" s="68" t="str">
        <x:v>Mid-Senior level</x:v>
      </x:c>
      <x:c r="AD142" s="68" t="str">
        <x:v>Full-time</x:v>
      </x:c>
      <x:c r="AE142" s="68" t="str">
        <x:v>Engineering and Research</x:v>
      </x:c>
      <x:c r="AF142" s="68" t="str">
        <x:v>Software Development</x:v>
      </x:c>
      <x:c r="AG142" s="68" t="str">
        <x:v>https://www.linkedin.com/jobs/search/?position=1&amp;pageNum=0&amp;keywords=AI+Engineer&amp;location=United+States&amp;distance=0&amp;f_TPR=r604800</x:v>
      </x:c>
      <x:c r="AH142" s="68" t="str">
        <x:v>{'type': 'PostalAddress', 'addressLocality': 'San Francisco Bay Area', 'addressRegion': 'California', 'addressCountry': 'US'}</x:v>
      </x:c>
      <x:c r="AI142" s="68" t="str">
        <x:v>https://www.evlo.ai/</x:v>
      </x:c>
      <x:c r="AJ142" s="68" t="str">
        <x:v>Powering Next Gen Frontier Models and Intelligence</x:v>
      </x:c>
      <x:c r="AK142" s="68" t="str">
        <x:v>Powering the Nex Generation Frontier Models and Intelligence by connecting best talent with best companies</x:v>
      </x:c>
      <x:c r="AL142" s="68"/>
      <x:c r="AM142" s="68"/>
      <x:c r="AN142" s="68"/>
      <x:c r="AO142" s="68"/>
      <x:c r="AP142" s="68"/>
    </x:row>
    <x:row r="143" s="25" customFormat="1" ht="22" customHeight="1">
      <x:c r="A143" s="68" t="str">
        <x:v>4448066139</x:v>
      </x:c>
      <x:c r="B143" s="68" t="str">
        <x:v>Artificial Intelligence Engineer</x:v>
      </x:c>
      <x:c r="C143" s="68" t="str">
        <x:v>Osprey Life Sciences</x:v>
      </x:c>
      <x:c r="D143" s="68" t="str">
        <x:v>Massachusetts, United States</x:v>
      </x:c>
      <x:c r="E143" s="68" t="str">
        <x:v>Applied</x:v>
      </x:c>
      <x:c r="F143" s="68" t="str">
        <x:v>linkedin</x:v>
      </x:c>
      <x:c r="G143" s="69"/>
      <x:c r="H143" s="85" t="str">
        <x:v>2026-08-05</x:v>
      </x:c>
      <x:c r="I143" s="85" t="str">
        <x:v>2026-08-12 13:18:49</x:v>
      </x:c>
      <x:c r="J143" s="68" t="str">
        <x:v>80</x:v>
      </x:c>
      <x:c r="K143" s="70"/>
      <x:c r="L143" s="86" t="n">
        <x:v>46247.35510984954</x:v>
      </x:c>
      <x:c r="M143" s="87" t="n">
        <x:v>46247.36037362269</x:v>
      </x:c>
      <x:c r="N143" s="71" t="n">
        <x:v>454.785</x:v>
      </x:c>
      <x:c r="O143" s="88" t="n">
        <x:v>43</x:v>
      </x:c>
      <x:c r="P143" s="89" t="n">
        <x:v>0.04188722</x:v>
      </x:c>
      <x:c r="Q143" s="89"/>
      <x:c r="R143" s="89"/>
      <x:c r="S143" s="73" t="str">
        <x:v>completed</x:v>
      </x:c>
      <x:c r="T143" s="68"/>
      <x:c r="U143" s="68" t="str">
        <x:v>https://www.linkedin.com/jobs/view/artificial-intelligence-engineer-at-osprey-life-sciences-4448066139?position=25&amp;pageNum=0&amp;refId=7cQDupwnUIWTR2NYcM6GGg%3D%3D&amp;trackingId=vQoHAsAeQwe%2FVtPnQpNmQw%3D%3D</x:v>
      </x:c>
      <x:c r="V143" s="68" t="str">
        <x:v>vQoHAsAeQwe/VtPnQpNmQw==</x:v>
      </x:c>
      <x:c r="W143" s="68" t="str">
        <x:v>7cQDupwnUIWTR2NYcM6GGg==</x:v>
      </x:c>
      <x:c r="X143" s="68" t="str">
        <x:v>https://www.linkedin.com/company/osprey-life-sciences?trk=public_jobs_jserp-result_job-search-card-subtitle</x:v>
      </x:c>
      <x:c r="Y143" s="68" t="str">
        <x:v>https://media.licdn.com/dms/image/v2/C4E0BAQF23H4Dm0SwDg/company-logo_100_100/company-logo_100_100/0/1678478111727/osprey_life_sciences_logo?e=2147483647&amp;v=beta&amp;t=bpf-kX2HCZ5tsmvDZrNecM371Xu2m4anJe9NMAxpzKE</x:v>
      </x:c>
      <x:c r="Z143" s="68"/>
      <x:c r="AA143" s="68" t="str">
        <x:v>&lt;p&gt;&lt;strong&gt;Agentic AI Engineer – AWS Bedrock &amp;amp; LangGraph&lt;/strong&gt;&lt;/p&gt;&lt;p&gt;&lt;br&gt;&lt;/p&gt;&lt;p&gt;&lt;strong&gt;A World Class Company&lt;/strong&gt;&lt;/p&gt;&lt;p&gt;&lt;strong&gt;Osprey Life Sciences, LLC&lt;/strong&gt;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lives.&lt;/p&gt;&lt;p&gt;&lt;br&gt;&lt;/p&gt;&lt;p&gt;&lt;strong&gt;Overview&lt;/strong&gt;&lt;/p&gt;&lt;p&gt;Osprey Life Sciences is seeking an experienced &lt;strong&gt;Agentic AI Engineer&lt;/strong&gt; to design, build, deploy, and support production AI agent solutions using &lt;strong&gt;Python, Amazon Bedrock, LangChain, and LangGraph&lt;/strong&gt;.&lt;/p&gt;&lt;p&gt;&lt;br&gt;&lt;/p&gt;&lt;p&gt;This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lifecycle.&lt;/p&gt;&lt;p&gt;&lt;br&gt;&lt;/p&gt;&lt;p&gt;The resource will support ongoing AI initiatives spanning new development, troubleshooting, enhancement, and production support.&lt;/p&gt;&lt;p&gt;&lt;br&gt;&lt;/p&gt;&lt;p&gt;&lt;strong&gt;Key Responsibilities&lt;/strong&gt;&lt;/p&gt;&lt;ul&gt;&lt;li&gt;Design, build, and deploy production AI agent solutions using &lt;strong&gt;Amazon Bedrock and Amazon Bedrock AgentCore&lt;/strong&gt;&lt;/li&gt;&lt;li&gt;Develop AI agents and multi-step workflows using &lt;strong&gt;Python, LangChain, and LangGraph&lt;/strong&gt;&lt;/li&gt;&lt;li&gt;Create agentic workflows incorporating tool use, branching, state management, and multi-step decision-making&lt;/li&gt;&lt;li&gt;Integrate AI agents with APIs, databases, documents, and enterprise applications&lt;/li&gt;&lt;li&gt;Test, troubleshoot, maintain, and continuously improve production AI agent solutions&lt;/li&gt;&lt;li&gt;Monitor agent performance, reliability, and operational health&lt;/li&gt;&lt;li&gt;Diagnose and resolve production issues involving agent behavior, integrations, and workflows&lt;/li&gt;&lt;li&gt;Document technical designs, deployment processes, configurations, and support procedures&lt;/li&gt;&lt;li&gt;Collaborate with business and technical stakeholders to translate requirements into scalable, production-ready AI solutions&lt;/li&gt;&lt;/ul&gt;&lt;p&gt;&lt;br&gt;&lt;/p&gt;&lt;p&gt;&lt;strong&gt;Required Qualifications&lt;/strong&gt;&lt;/p&gt;&lt;ul&gt;&lt;li&gt;Hands-on experience deploying AI agents using &lt;strong&gt;Amazon Bedrock and Amazon Bedrock AgentCore&lt;/strong&gt;&lt;/li&gt;&lt;li&gt;Experience building AI agents or complex, multi-step generative AI workflows&lt;/li&gt;&lt;li&gt;Strong &lt;strong&gt;Python&lt;/strong&gt; software development skills&lt;/li&gt;&lt;li&gt;Experience with agent frameworks such as &lt;strong&gt;LangChain and/or LangGraph&lt;/strong&gt;&lt;/li&gt;&lt;li&gt;Experience integrating AI applications with APIs, databases, documents, and/or enterprise systems&lt;/li&gt;&lt;li&gt;Demonstrated experience testing, troubleshooting, and maintaining AI agent solutions in production&lt;/li&gt;&lt;li&gt;Strong analytical, problem-solving, and communication skills&lt;/li&gt;&lt;/ul&gt;&lt;p&gt;&lt;br&gt;&lt;/p&gt;&lt;p&gt;P&lt;strong&gt;referred Qualifications&lt;/strong&gt;&lt;/p&gt;&lt;ul&gt;&lt;li&gt;Experience developing AI agents using &lt;strong&gt;Microsoft Copilot Studio&lt;/strong&gt;&lt;/li&gt;&lt;li&gt;Experience designing and configuring agent workflows within UI-based development environments&lt;/li&gt;&lt;li&gt;Experience integrating Copilot Studio with enterprise systems, APIs, Power Platform, or Microsoft services&lt;/li&gt;&lt;li&gt;Experience testing, troubleshooting, and supporting Copilot Studio solutions in production&lt;/li&gt;&lt;li&gt;Experience developing AI solutions within enterprise or regulated environments&lt;/li&gt;&lt;/ul&gt;&lt;p&gt;&lt;br&gt;&lt;/p&gt;&lt;p&gt;&lt;strong&gt;Core Competencies&lt;/strong&gt;&lt;/p&gt;&lt;ul&gt;&lt;li&gt;&lt;strong&gt;Agentic AI Engineering:&lt;/strong&gt; Strong understanding of AI agents, orchestration, tool use, state management, and multi-step workflows&lt;/li&gt;&lt;li&gt;&lt;strong&gt;Hands-On Development:&lt;/strong&gt; Ability to independently build, test, debug, and deploy production AI solutions&lt;/li&gt;&lt;li&gt;&lt;strong&gt;Production Support:&lt;/strong&gt; Strong troubleshooting and root-cause analysis skills with a focus on reliability and operational performance&lt;/li&gt;&lt;li&gt;&lt;strong&gt;Systems Integration:&lt;/strong&gt; Ability to connect AI solutions with enterprise applications, APIs, data sources, and document repositories&lt;/li&gt;&lt;li&gt;&lt;strong&gt;Problem Solving:&lt;/strong&gt; Ability to diagnose complex technical and agent-behavior issues and develop practical solutions&lt;/li&gt;&lt;li&gt;&lt;strong&gt;Collaboration:&lt;/strong&gt; Ability to work effectively with business stakeholders, engineering teams, and other technical resources&lt;/li&gt;&lt;li&gt;&lt;strong&gt;Communication:&lt;/strong&gt; Clear technical documentation and the ability to translate requirements into executable AI solutions&lt;/li&gt;&lt;li&gt;&lt;strong&gt;Adaptability:&lt;/strong&gt; Ability to work effectively in a rapidly evolving AI technology landscape&lt;/li&gt;&lt;/ul&gt;&lt;p&gt;&lt;br&gt;&lt;/p&gt;&lt;p&gt;We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law.&lt;/p&gt;</x:v>
      </x:c>
      <x:c r="AB143" s="68" t="str">
        <x:v>
Agentic AI Engineer – AWS Bedrock &amp;amp; LangGraph
A World Class Company
Osprey Life Sciences, LLC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
Overview
Osprey Life Sciences is seeking an experienced Agentic AI Engineer to design, build, deploy, and support production AI agent solutions using Python, Amazon Bedrock, LangChain, and LangGraph.
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
The resource will support ongoing AI initiatives spanning new development, troubleshooting, enhancement, and production support.
Key Responsibilities
- Design, build, and deploy production AI agent solutions using Amazon Bedrock and Amazon Bedrock AgentCore
- Develop AI agents and multi-step workflows using Python, LangChain, and LangGraph
- Create agentic workflows incorporating tool use, branching, state management, and multi-step decision-making
- Integrate AI agents with APIs, databases, documents, and enterprise applications
- Test, troubleshoot, maintain, and continuously improve production AI agent solutions
- Monitor agent performance, reliability, and operational health
- Diagnose and resolve production issues involving agent behavior, integrations, and workflows
- Document technical designs, deployment processes, configurations, and support procedures
- Collaborate with business and technical stakeholders to translate requirements into scalable, production-ready AI solutions
Required Qualifications
- Hands-on experience deploying AI agents using Amazon Bedrock and Amazon Bedrock AgentCore
- Experience building AI agents or complex, multi-step generative AI workflows
- Strong Python software development skills
- Experience with agent frameworks such as LangChain and/or LangGraph
- Experience integrating AI applications with APIs, databases, documents, and/or enterprise systems
- Demonstrated experience testing, troubleshooting, and maintaining AI agent solutions in production
- Strong analytical, problem-solving, and communication skills
Preferred Qualifications
- Experience developing AI agents using Microsoft Copilot Studio
- Experience designing and configuring agent workflows within UI-based development environments
- Experience integrating Copilot Studio with enterprise systems, APIs, Power Platform, or Microsoft services
- Experience testing, troubleshooting, and supporting Copilot Studio solutions in production
- Experience developing AI solutions within enterprise or regulated environments
Core Competencies
- Agentic AI Engineering: Strong understanding of AI agents, orchestration, tool use, state management, and multi-step workflows
- Hands-On Development: Ability to independently build, test, debug, and deploy production AI solutions
- Production Support: Strong troubleshooting and root-cause analysis skills with a focus on reliability and operational performance
- Systems Integration: Ability to connect AI solutions with enterprise applications, APIs, data sources, and document repositories
- Problem Solving: Ability to diagnose complex technical and agent-behavior issues and develop practical solutions
- Collaboration: Ability to work effectively with business stakeholders, engineering teams, and other technical resources
- Communication: Clear technical documentation and the ability to translate requirements into executable AI solutions
- Adaptability: Ability to work effectively in a rapidly evolving AI technology landscape
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x:v>
      </x:c>
      <x:c r="AC143" s="68" t="str">
        <x:v>Mid-Senior level</x:v>
      </x:c>
      <x:c r="AD143" s="68" t="str">
        <x:v>Full-time</x:v>
      </x:c>
      <x:c r="AE143" s="68" t="str">
        <x:v>Engineering, Consulting, and Information Technology</x:v>
      </x:c>
      <x:c r="AF143" s="68" t="str">
        <x:v>IT Services and IT Consulting, Software Development, and Pharmaceutical Manufacturing</x:v>
      </x:c>
      <x:c r="AG143" s="68" t="str">
        <x:v>https://www.linkedin.com/jobs/search/?position=1&amp;pageNum=0&amp;keywords=AI+Engineer&amp;location=United+States&amp;distance=0&amp;f_TPR=r604800</x:v>
      </x:c>
      <x:c r="AH143" s="68" t="str">
        <x:v>{'type': 'PostalAddress', 'streetAddress': '867 Boylston St, 5th Floor', 'addressLocality': 'Boston', 'addressRegion': 'MA', 'postalCode': '02116', 'addressCountry': 'US'}</x:v>
      </x:c>
      <x:c r="AI143" s="68" t="str">
        <x:v>http://www.ospreylifesciences.com</x:v>
      </x:c>
      <x:c r="AJ143" s="68" t="str">
        <x:v>Enabling Life Sciences organizations to excel through digital adoption, operational excellence, and regulatory insight.</x:v>
      </x:c>
      <x:c r="AK143" s="68" t="str">
        <x:v>Osprey Life Sciences helps pharmaceutical, biotech, and medical technology organizations navigate complex regulated environments through a combination of life sciences domain expertise and advanced technology execution. From laboratory research through commercial launch, we partner with clients to drive digital adoption, operational excellence, and regulatory readiness – helping teams transform complexity into clear, scalable solutions. 
Our services span program leadership, quality and compliance, regulatory technology, software development and integration, artificial intelligence, Salesforce solutions, and managed services. With expertise across R&amp;D, manufacturing and supply chain, commercial and medical affairs, regulatory operations, and enterprise IT, we deliver practical, compliant solutions that accelerate innovation while ensuring governance and operational reliability.
</x:v>
      </x:c>
      <x:c r="AL143" s="68" t="str">
        <x:v>46.0</x:v>
      </x:c>
      <x:c r="AM143" s="68" t="str">
        <x:v>Jocelyn Paquette</x:v>
      </x:c>
      <x:c r="AN143" s="68" t="str">
        <x:v>Director, Talent Acquisition, Osprey Software Inc.</x:v>
      </x:c>
      <x:c r="AO143" s="68" t="str">
        <x:v>https://media.licdn.com/dms/image/v2/D4E03AQE0JLhKgisejw/profile-displayphoto-shrink_400_400/B4EZTR57b3HgAg-/0/1738688411956?e=2147483647&amp;v=beta&amp;t=yoklsFK3xviEyWpnirWDbglB0nJcSFYuKSFe4rdC_bQ</x:v>
      </x:c>
      <x:c r="AP143" s="68" t="str">
        <x:v>https://www.linkedin.com/in/jocelyn-paquette-40bb6721</x:v>
      </x:c>
    </x:row>
    <x:row r="144" s="25" customFormat="1" ht="22" customHeight="1">
      <x:c r="A144" s="68" t="str">
        <x:v>4448412184</x:v>
      </x:c>
      <x:c r="B144" s="68" t="str">
        <x:v>Artificial Intelligence Engineer</x:v>
      </x:c>
      <x:c r="C144" s="68" t="str">
        <x:v>Aurrum Services</x:v>
      </x:c>
      <x:c r="D144" s="68" t="str">
        <x:v>New York, United States</x:v>
      </x:c>
      <x:c r="E144" s="68" t="str">
        <x:v>Applied</x:v>
      </x:c>
      <x:c r="F144" s="68" t="str">
        <x:v>linkedin</x:v>
      </x:c>
      <x:c r="G144" s="69"/>
      <x:c r="H144" s="85" t="str">
        <x:v>2026-08-06</x:v>
      </x:c>
      <x:c r="I144" s="85" t="str">
        <x:v>2026-08-12 13:18:49</x:v>
      </x:c>
      <x:c r="J144" s="68" t="str">
        <x:v>60</x:v>
      </x:c>
      <x:c r="K144" s="70"/>
      <x:c r="L144" s="86" t="n">
        <x:v>46247.34934987268</x:v>
      </x:c>
      <x:c r="M144" s="87" t="n">
        <x:v>46247.35498222222</x:v>
      </x:c>
      <x:c r="N144" s="71" t="n">
        <x:v>486.64</x:v>
      </x:c>
      <x:c r="O144" s="88" t="n">
        <x:v>43</x:v>
      </x:c>
      <x:c r="P144" s="89" t="n">
        <x:v>0.05032841</x:v>
      </x:c>
      <x:c r="Q144" s="89"/>
      <x:c r="R144" s="89"/>
      <x:c r="S144" s="73" t="str">
        <x:v>completed</x:v>
      </x:c>
      <x:c r="T144" s="68"/>
      <x:c r="U144" s="68" t="str">
        <x:v>https://www.linkedin.com/jobs/view/artificial-intelligence-engineer-at-aurrum-services-4448412184?position=22&amp;pageNum=0&amp;refId=7cQDupwnUIWTR2NYcM6GGg%3D%3D&amp;trackingId=lIOm7RO41ev%2FeLUyOD9XhQ%3D%3D</x:v>
      </x:c>
      <x:c r="V144" s="68" t="str">
        <x:v>lIOm7RO41ev/eLUyOD9XhQ==</x:v>
      </x:c>
      <x:c r="W144" s="68" t="str">
        <x:v>7cQDupwnUIWTR2NYcM6GGg==</x:v>
      </x:c>
      <x:c r="X144" s="68" t="str">
        <x:v>https://in.linkedin.com/company/aurrum-services?trk=public_jobs_jserp-result_job-search-card-subtitle</x:v>
      </x:c>
      <x:c r="Y144" s="68" t="str">
        <x:v>https://media.licdn.com/dms/image/v2/D4D0BAQGGSWiSF6gx6g/company-logo_100_100/B4DZvHGjvGKAAQ-/0/1768571945660/aurrum_services_logo?e=2147483647&amp;v=beta&amp;t=wFrPP94vMtPLA5wuNmldqUJ8aT3pcc_4s57tiR1peZA</x:v>
      </x:c>
      <x:c r="Z144" s="68"/>
      <x:c r="AA144" s="68" t="str">
        <x:v>&lt;p&gt;AI Engineer – Agentic AI | Series A - E Startup | NYC Hybrid | $180K–$280K + Equity&lt;/p&gt;&lt;p&gt;&lt;br&gt;&lt;/p&gt;&lt;p&gt;🚀 &lt;strong&gt;Join a fast-growing, VC-backed AI startup that's transforming healthcare through cutting-edge AI.&lt;/strong&gt;&lt;/p&gt;&lt;p&gt;&lt;br&gt;&lt;/p&gt;&lt;p&gt;We're partnering with an innovative &lt;strong&gt;Series A - E startup&lt;/strong&gt; that's building an AI-powered platform to automate complex financial workflows within the healthcare industry. This is a unique opportunity to join a small, high-impact engineering team and help build an agentic AI platform from the ground up.&lt;/p&gt;&lt;p&gt;&lt;br&gt;&lt;/p&gt;&lt;p&gt;If you're passionate about production AI, autonomous agents, and solving real-world problems with Large Language Models, we'd love to hear from you.&lt;/p&gt;&lt;p&gt;&lt;br&gt;&lt;/p&gt;&lt;p&gt;📍 Location&lt;/p&gt;&lt;p&gt;&lt;strong&gt;New York City (Hybrid)&lt;/strong&gt; – Minimum 3-4 days per week in the office&lt;/p&gt;&lt;p&gt;&lt;br&gt;&lt;/p&gt;&lt;p&gt;💰 Compensation&lt;/p&gt;&lt;ul&gt;&lt;li&gt;&lt;strong&gt;Base Salary:&lt;/strong&gt; $180,000–$280,000&lt;/li&gt;&lt;li&gt;&lt;strong&gt;Equity:&lt;/strong&gt; Meaningful equity package&lt;/li&gt;&lt;/ul&gt;&lt;p&gt;&lt;br&gt;&lt;/p&gt;&lt;p&gt;About the Role&lt;/p&gt;&lt;p&gt;As an &lt;strong&gt;AI Engineer&lt;/strong&gt;, you'll play a key role in designing, building, and deploying production-grade AI systems that automate complex workflows using Large Language Models and multi-agent architectures.&lt;/p&gt;&lt;p&gt;&lt;br&gt;&lt;/p&gt;&lt;p&gt;This is a true &lt;strong&gt;zero-to-one opportunity&lt;/strong&gt;, where you'll have significant ownership over product direction, technical architecture, and AI system design.&lt;/p&gt;&lt;p&gt;&lt;br&gt;&lt;/p&gt;&lt;p&gt;What You'll Do&lt;/p&gt;&lt;ul&gt;&lt;li&gt;Design and build production-ready AI agents and agentic workflows&lt;/li&gt;&lt;li&gt;Develop LLM-powered applications using modern prompting, RAG, and retrieval techniques&lt;/li&gt;&lt;li&gt;Build scalable AI systems using Python and modern ML frameworks&lt;/li&gt;&lt;li&gt;Design multi-agent orchestration pipelines for complex reasoning tasks&lt;/li&gt;&lt;li&gt;Optimize AI models for production performance and reliability&lt;/li&gt;&lt;li&gt;Collaborate closely with product and engineering teams to deliver impactful AI solutions&lt;/li&gt;&lt;li&gt;Experiment with emerging AI technologies and rapidly prototype new capabilities&lt;/li&gt;&lt;/ul&gt;&lt;p&gt;&lt;br&gt;&lt;/p&gt;&lt;p&gt;Required Experience&lt;/p&gt;&lt;ul&gt;&lt;li&gt;3+ years of hands-on experience building production ML/AI systems&lt;/li&gt;&lt;li&gt;Strong Python programming skills&lt;/li&gt;&lt;li&gt;Experience with Large Language Models (LLMs)&lt;/li&gt;&lt;li&gt;Experience building or deploying AI agents or agentic workflows&lt;/li&gt;&lt;li&gt;Knowledge of Retrieval-Augmented Generation (RAG)&lt;/li&gt;&lt;li&gt;Experience deploying machine learning models into production&lt;/li&gt;&lt;li&gt;Background working in fast-paced startup environments&lt;/li&gt;&lt;li&gt;Excellent problem-solving and communication skills&lt;/li&gt;&lt;/ul&gt;&lt;p&gt;&lt;br&gt;&lt;/p&gt;&lt;p&gt;Nice to Have&lt;/p&gt;&lt;ul&gt;&lt;li&gt;Multi-agent orchestration frameworks&lt;/li&gt;&lt;li&gt;Reinforcement Learning&lt;/li&gt;&lt;li&gt;PyTorch&lt;/li&gt;&lt;li&gt;Transformers&lt;/li&gt;&lt;li&gt;Temporal&lt;/li&gt;&lt;li&gt;LangChain or LangGraph&lt;/li&gt;&lt;li&gt;Healthcare AI experience&lt;/li&gt;&lt;li&gt;Insurance or financial workflow automation&lt;/li&gt;&lt;li&gt;AI infrastructure and MLOps&lt;/li&gt;&lt;li&gt;PhD or advanced degree in Computer Science, Machine Learning, or a related field&lt;/li&gt;&lt;/ul&gt;&lt;p&gt;&lt;br&gt;&lt;/p&gt;&lt;p&gt;Ideal Background&lt;/p&gt;&lt;p&gt;We're particularly interested in candidates who have worked at:&lt;/p&gt;&lt;ul&gt;&lt;li&gt;AI-native startups&lt;/li&gt;&lt;li&gt;VC-backed technology companies&lt;/li&gt;&lt;li&gt;High-growth SaaS businesses&lt;/li&gt;&lt;li&gt;Applied AI teams within leading technology organizations&lt;/li&gt;&lt;/ul&gt;&lt;p&gt;&lt;br&gt;&lt;/p&gt;&lt;p&gt;Why Apply?&lt;/p&gt;&lt;ul&gt;&lt;li&gt;Build production AI that solves real-world problems&lt;/li&gt;&lt;li&gt;Join an early-stage, well-funded startup with significant growth potential&lt;/li&gt;&lt;li&gt;Work alongside experienced engineers and founders&lt;/li&gt;&lt;li&gt;High ownership with the opportunity to shape core AI architecture&lt;/li&gt;&lt;li&gt;Competitive compensation and meaningful equity&lt;/li&gt;&lt;li&gt;Collaborative hybrid work environment in New York City&lt;/li&gt;&lt;/ul&gt;&lt;p&gt;&lt;br&gt;&lt;/p&gt;&lt;p&gt;If you're excited about building the next generation of intelligent AI systems and want to make a meaningful impact from day one, we'd love to connect.&lt;/p&gt;&lt;p&gt;&lt;br&gt;&lt;/p&gt;</x:v>
      </x:c>
      <x:c r="AB144" s="68" t="str">
        <x:v>
AI Engineer – Agentic AI | Series A - E Startup | NYC Hybrid | $180K–$280K + Equity
🚀 Join a fast-growing, VC-backed AI startup that's transforming healthcare through cutting-edge AI.
We're partnering with an innovative Series A - E startup that's building an AI-powered platform to automate complex financial workflows within the healthcare industry. This is a unique opportunity to join a small, high-impact engineering team and help build an agentic AI platform from the ground up.
If you're passionate about production AI, autonomous agents, and solving real-world problems with Large Language Models, we'd love to hear from you.
📍 Location
New York City (Hybrid) – Minimum 3-4 days per week in the office
💰 Compensation
- Base Salary: $180,000–$280,000
- Equity: Meaningful equity package
About the Role
As an AI Engineer, you'll play a key role in designing, building, and deploying production-grade AI systems that automate complex workflows using Large Language Models and multi-agent architectures.
This is a true zero-to-one opportunity, where you'll have significant ownership over product direction, technical architecture, and AI system design.
What You'll Do
- Design and build production-ready AI agents and agentic workflows
- Develop LLM-powered applications using modern prompting, RAG, and retrieval techniques
- Build scalable AI systems using Python and modern ML frameworks
- Design multi-agent orchestration pipelines for complex reasoning tasks
- Optimize AI models for production performance and reliability
- Collaborate closely with product and engineering teams to deliver impactful AI solutions
- Experiment with emerging AI technologies and rapidly prototype new capabilities
Required Experience
- 3+ years of hands-on experience building production ML/AI systems
- Strong Python programming skills
- Experience with Large Language Models (LLMs)
- Experience building or deploying AI agents or agentic workflows
- Knowledge of Retrieval-Augmented Generation (RAG)
- Experience deploying machine learning models into production
- Background working in fast-paced startup environments
- Excellent problem-solving and communication skills
Nice to Have
- Multi-agent orchestration frameworks
- Reinforcement Learning
- PyTorch
- Transformers
- Temporal
- LangChain or LangGraph
- Healthcare AI experience
- Insurance or financial workflow automation
- AI infrastructure and MLOps
- PhD or advanced degree in Computer Science, Machine Learning, or a related field
Ideal Background
We're particularly interested in candidates who have worked at:
- AI-native startups
- VC-backed technology companies
- High-growth SaaS businesses
- Applied AI teams within leading technology organizations
Why Apply?
- Build production AI that solves real-world problems
- Join an early-stage, well-funded startup with significant growth potential
- Work alongside experienced engineers and founders
- High ownership with the opportunity to shape core AI architecture
- Competitive compensation and meaningful equity
- Collaborative hybrid work environment in New York City
If you're excited about building the next generation of intelligent AI systems and want to make a meaningful impact from day one, we'd love to connect.
</x:v>
      </x:c>
      <x:c r="AC144" s="68" t="str">
        <x:v>Mid-Senior level</x:v>
      </x:c>
      <x:c r="AD144" s="68" t="str">
        <x:v>Full-time</x:v>
      </x:c>
      <x:c r="AE144" s="68" t="str">
        <x:v>Engineering and Business Development</x:v>
      </x:c>
      <x:c r="AF144" s="68" t="str">
        <x:v>IT Services and IT Consulting and Software Development</x:v>
      </x:c>
      <x:c r="AG144" s="68" t="str">
        <x:v>https://www.linkedin.com/jobs/search/?position=1&amp;pageNum=0&amp;keywords=AI+Engineer&amp;location=United+States&amp;distance=0&amp;f_TPR=r604800</x:v>
      </x:c>
      <x:c r="AH144" s="68" t="str">
        <x:v>{'type': 'PostalAddress', 'addressLocality': 'Ahmedabad', 'addressCountry': 'IN'}</x:v>
      </x:c>
      <x:c r="AI144" s="68"/>
      <x:c r="AJ144" s="68" t="str">
        <x:v>Where Talent Meets Opportunity.</x:v>
      </x:c>
      <x:c r="AK144" s="68" t="str">
        <x:v>Aurrum Services is a fast-growing recruitment solutions provider headquartered in India, with expanding operations in the UK. Founded by an experienced Talent Acquisition professional with a proven track record in global hiring, data-driven recruitment strategies, and stakeholder management, Aurrum is built on a foundation of excellence, agility, and efficiency.
Our team consists of driven and capable recruiters trained in cutting-edge hiring technologies, talent mapping, and end-to-end recruitment operations. We specialize in delivering high-quality talent across IT, Engineering, Pharma, and Non-IT domains—supporting recruitment leaders, talent acquisition teams, and staffing agencies with scalable offshore hiring solutions.
With deep expertise in ATS implementation, Boolean search, AI-powered assessments, and HR analytics, we don’t just fill vacancies—we solve hiring challenges with precision and partnership.
Why Aurrum Services?
✅ Experienced team led by industry expert in global talent acquisition
✅ Proven hiring success in the US and India
✅ Expertise in niche, technical, and volume hiring
✅ High responsiveness and client-centric approach
✅ Advanced reporting &amp; insights through MIS and HR analytics tools
Let’s elevate your hiring game with quality, speed, and strategic support.
https://aurrum.co/
</x:v>
      </x:c>
      <x:c r="AL144" s="68" t="str">
        <x:v>11.0</x:v>
      </x:c>
      <x:c r="AM144" s="68" t="str">
        <x:v>Sunny Chauhan</x:v>
      </x:c>
      <x:c r="AN144" s="68"/>
      <x:c r="AO144" s="68" t="str">
        <x:v>https://media.licdn.com/dms/image/v2/D4D03AQEpzQ8Tx00nHQ/profile-displayphoto-scale_400_400/B4DZkuivNnHYAo-/0/1757422486230?e=2147483647&amp;v=beta&amp;t=OQ-uwVPVpMtGT2xIfNSyu49-uPH9ELkZE8bfGinJ6lU</x:v>
      </x:c>
      <x:c r="AP144" s="68" t="str">
        <x:v>https://in.linkedin.com/in/sunny-chauhan1</x:v>
      </x:c>
    </x:row>
    <x:row r="145" s="25" customFormat="1" ht="22" customHeight="1">
      <x:c r="A145" s="68" t="str">
        <x:v>4451873704</x:v>
      </x:c>
      <x:c r="B145" s="68" t="str">
        <x:v>AI Engineer II</x:v>
      </x:c>
      <x:c r="C145" s="68" t="str">
        <x:v>Waters Corporation</x:v>
      </x:c>
      <x:c r="D145" s="68" t="str">
        <x:v>Milford, MA</x:v>
      </x:c>
      <x:c r="E145" s="68" t="str">
        <x:v>Requires CAPTCHA</x:v>
      </x:c>
      <x:c r="F145" s="68"/>
      <x:c r="G145" s="69"/>
      <x:c r="H145" s="85" t="str">
        <x:v>2026-08-10</x:v>
      </x:c>
      <x:c r="I145" s="85" t="str">
        <x:v>2026-08-12 13:18:49</x:v>
      </x:c>
      <x:c r="J145" s="68" t="str">
        <x:v>200</x:v>
      </x:c>
      <x:c r="K145" s="70"/>
      <x:c r="L145" s="86"/>
      <x:c r="M145" s="87"/>
      <x:c r="N145" s="71"/>
      <x:c r="O145" s="88"/>
      <x:c r="P145" s="89"/>
      <x:c r="Q145" s="89"/>
      <x:c r="R145" s="89"/>
      <x:c r="S145" s="73"/>
      <x:c r="T145" s="68"/>
      <x:c r="U145" s="68" t="str">
        <x:v>https://www.linkedin.com/jobs/view/ai-engineer-ii-at-waters-corporation-4451873704?position=18&amp;pageNum=0&amp;refId=7cQDupwnUIWTR2NYcM6GGg%3D%3D&amp;trackingId=BZ2SrVCj7qYm2kO7twJFJw%3D%3D</x:v>
      </x:c>
      <x:c r="V145" s="68" t="str">
        <x:v>BZ2SrVCj7qYm2kO7twJFJw==</x:v>
      </x:c>
      <x:c r="W145" s="68" t="str">
        <x:v>7cQDupwnUIWTR2NYcM6GGg==</x:v>
      </x:c>
      <x:c r="X145" s="68" t="str">
        <x:v>https://www.linkedin.com/company/waters?trk=public_jobs_jserp-result_job-search-card-subtitle</x:v>
      </x:c>
      <x:c r="Y145" s="68" t="str">
        <x:v>https://media.licdn.com/dms/image/v2/D4E0BAQHROQ7bgGjIVg/company-logo_100_100/company-logo_100_100/0/1719844908297/waters_logo?e=2147483647&amp;v=beta&amp;t=CrxszJyClh9_0cCNIgiD-D8tb5lpBnphfFiApZAOyGU</x:v>
      </x:c>
      <x:c r="Z145" s="68"/>
      <x:c r="AA145" s="68" t="str">
        <x:v>&lt;strong&gt;Overview&lt;br&gt;&lt;br&gt;&lt;/strong&gt;The AI Engineer I I  supports the design, development, and deployment of AI-powered applications and intelligent automation solutions. You will contribute to  production  AI solutions with modern AI platforms and tools, developing systems that create measurable business value. &lt;br&gt;&lt;br&gt;&lt;strong&gt;Responsibilities&lt;br&gt;&lt;br&gt;&lt;/strong&gt;&lt;ul&gt;&lt;li&gt; Design, develop, and support AI-powered applications, copilots, assistants, and intelligent workflows that improve business productivity and process effectiveness. &lt;/li&gt;&lt;li&gt; Build solutions leveraging large language models (LLMs), machine learning models, and knowledge-based systems to address business challenges and enable intelligent decision-making. &lt;/li&gt;&lt;li&gt; Integrate AI capabilities with enterprise applications, data sources, and business processes to deliver scalable and reusable solutions. &lt;/li&gt;&lt;li&gt; Develop and maintain high-quality APIs, services, and application components following established software engineering standards and best practices. &lt;/li&gt;&lt;li&gt; Monitor, evaluate, and optimize AI solution performance by identifying and resolving issues related to models, data quality, reliability, and user experience. &lt;/li&gt;&lt;li&gt; Collaborate with AI engineers, data engineers, and business stakeholders to design and deliver solutions that meet business and technical requirements. &lt;/li&gt;&lt;li&gt; Stay current on emerging AI technologies, tools, and engineering practices through research, experimentation, and continuous learning to drive innovation and solution effectiveness. &lt;br&gt;&lt;br&gt;&lt;/li&gt;&lt;/ul&gt;&lt;strong&gt;Qualifications&lt;br&gt;&lt;br&gt;&lt;/strong&gt;&lt;ul&gt;&lt;li&gt; Master's degree in Artificial Intelligence, Computer Science, Machine Learning, Data Science, Software Engineering, or a related field, or equivalent practical experience. Plus 2 + years of relevant experience. &lt;/li&gt;&lt;li&gt; Comfortable with OOP and functional software engineering practices  in Python &lt;/li&gt;&lt;li&gt; Working knowledge of machine learning, deep learning, and other AI fundamentals including model development, evaluation, and deployment.  &lt;/li&gt;&lt;li&gt; Understanding s of LLMs , RAG, vector search,  and agentic workflows.  &lt;br&gt;&lt;br&gt;&lt;/li&gt;&lt;/ul&gt;&lt;strong&gt;Nice-to-Have / Plus Qualifications &lt;br&gt;&lt;br&gt;&lt;/strong&gt;&lt;ul&gt;&lt;li&gt; G raduate-level AI research experience.  &lt;/li&gt;&lt;li&gt; Experience building software applications, APIs, or technical solutions in collaborative development environments using source control .  &lt;/li&gt;&lt;li&gt; Experience with AWS or Microsoft cloud infrastructure &lt;br&gt;&lt;br&gt;&lt;/li&gt;&lt;/ul&gt;&lt;strong&gt;Company Description&lt;br&gt;&lt;br&gt;&lt;/strong&gt;Waters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worldwide.&lt;br&gt;&lt;br&gt;Diversity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time.&lt;br&gt;&lt;br&gt;&lt;strong&gt; Key Words &lt;br&gt;&lt;br&gt;&lt;/strong&gt;Artificial Intelligence, AI, Machine Learning, Software Engineering, Application Development, Data Analysis, Problem Solving, Cross-Functional Collaboration, Continuous Learning, Innovation.</x:v>
      </x:c>
      <x:c r="AB145" s="68" t="str">
        <x:v>Overview
The AI Engineer I I  supports the design, development, and deployment of AI-powered applications and intelligent automation solutions. You will contribute to  production  AI solutions with modern AI platforms and tools, developing systems that create measurable business value. 
Responsibilities
-  Design, develop, and support AI-powered applications, copilots, assistants, and intelligent workflows that improve business productivity and process effectiveness. 
-  Build solutions leveraging large language models (LLMs), machine learning models, and knowledge-based systems to address business challenges and enable intelligent decision-making. 
-  Integrate AI capabilities with enterprise applications, data sources, and business processes to deliver scalable and reusable solutions. 
-  Develop and maintain high-quality APIs, services, and application components following established software engineering standards and best practices. 
-  Monitor, evaluate, and optimize AI solution performance by identifying and resolving issues related to models, data quality, reliability, and user experience. 
-  Collaborate with AI engineers, data engineers, and business stakeholders to design and deliver solutions that meet business and technical requirements. 
-  Stay current on emerging AI technologies, tools, and engineering practices through research, experimentation, and continuous learning to drive innovation and solution effectiveness. 
Qualifications
-  Master's degree in Artificial Intelligence, Computer Science, Machine Learning, Data Science, Software Engineering, or a related field, or equivalent practical experience. Plus 2 + years of relevant experience. 
-  Comfortable with OOP and functional software engineering practices  in Python 
-  Working knowledge of machine learning, deep learning, and other AI fundamentals including model development, evaluation, and deployment.  
-  Understanding s of LLMs , RAG, vector search,  and agentic workflows.  
Nice-to-Have / Plus Qualifications 
-  G raduate-level AI research experience.  
-  Experience building software applications, APIs, or technical solutions in collaborative development environments using source control .  
-  Experience with AWS or Microsoft cloud infrastructure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Artificial Intelligence, AI, Machine Learning, Software Engineering, Application Development, Data Analysis, Problem Solving, Cross-Functional Collaboration, Continuous Learning, Innovation.</x:v>
      </x:c>
      <x:c r="AC145" s="68" t="str">
        <x:v>Associate</x:v>
      </x:c>
      <x:c r="AD145" s="68" t="str">
        <x:v>Full-time</x:v>
      </x:c>
      <x:c r="AE145" s="68" t="str">
        <x:v>Engineering and Information Technology</x:v>
      </x:c>
      <x:c r="AF145" s="68" t="str">
        <x:v>Biotechnology Research, Pharmaceutical Manufacturing, and Appliances, Electrical, and Electronics Manufacturing</x:v>
      </x:c>
      <x:c r="AG145" s="68" t="str">
        <x:v>https://www.linkedin.com/jobs/search/?position=1&amp;pageNum=0&amp;keywords=AI+Engineer&amp;location=United+States&amp;distance=0&amp;f_TPR=r604800</x:v>
      </x:c>
      <x:c r="AH145" s="68" t="str">
        <x:v>{'type': 'PostalAddress', 'streetAddress': '34 Maple Street', 'addressLocality': 'Milford', 'addressRegion': 'MA', 'postalCode': '01757', 'addressCountry': 'US'}</x:v>
      </x:c>
      <x:c r="AI145" s="68" t="str">
        <x:v>http://www.waters.com</x:v>
      </x:c>
      <x:c r="AJ145" s="68" t="str">
        <x:v>Waters is a global leader in life sciences and diagnostics, dedicated to accelerating the benefits of pioneering science</x:v>
      </x:c>
      <x:c r="AK145" s="68" t="str">
        <x:v>Waters Corporation (NYSE: 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x:v>
      </x:c>
      <x:c r="AL145" s="68" t="str">
        <x:v>12006.0</x:v>
      </x:c>
      <x:c r="AM145" s="68"/>
      <x:c r="AN145" s="68"/>
      <x:c r="AO145" s="68"/>
      <x:c r="AP145" s="68"/>
    </x:row>
    <x:row r="146" s="25" customFormat="1" ht="22" customHeight="1">
      <x:c r="A146" s="68" t="str">
        <x:v>4449910009</x:v>
      </x:c>
      <x:c r="B146" s="68" t="str">
        <x:v>AI Automations Product Engineer</x:v>
      </x:c>
      <x:c r="C146" s="68" t="str">
        <x:v>NineTwoThree AI Studio</x:v>
      </x:c>
      <x:c r="D146" s="68" t="str">
        <x:v>Florida, United States</x:v>
      </x:c>
      <x:c r="E146" s="68" t="str">
        <x:v>Applied</x:v>
      </x:c>
      <x:c r="F146" s="68" t="str">
        <x:v>linkedin</x:v>
      </x:c>
      <x:c r="G146" s="69"/>
      <x:c r="H146" s="85" t="str">
        <x:v>2026-08-05</x:v>
      </x:c>
      <x:c r="I146" s="85" t="str">
        <x:v>2026-08-12 13:18:49</x:v>
      </x:c>
      <x:c r="J146" s="68" t="str">
        <x:v>161</x:v>
      </x:c>
      <x:c r="K146" s="70"/>
      <x:c r="L146" s="86" t="n">
        <x:v>46247.34252387731</x:v>
      </x:c>
      <x:c r="M146" s="87" t="n">
        <x:v>46247.34676275463</x:v>
      </x:c>
      <x:c r="N146" s="71" t="n">
        <x:v>366.234</x:v>
      </x:c>
      <x:c r="O146" s="88" t="n">
        <x:v>26</x:v>
      </x:c>
      <x:c r="P146" s="89" t="n">
        <x:v>0.02523846</x:v>
      </x:c>
      <x:c r="Q146" s="89"/>
      <x:c r="R146" s="89"/>
      <x:c r="S146" s="73" t="str">
        <x:v>completed</x:v>
      </x:c>
      <x:c r="T146" s="68"/>
      <x:c r="U146" s="68" t="str">
        <x:v>https://www.linkedin.com/jobs/view/ai-automations-product-engineer-at-ninetwothree-ai-studio-4449910009?position=21&amp;pageNum=0&amp;refId=7cQDupwnUIWTR2NYcM6GGg%3D%3D&amp;trackingId=LNWZS%2FWXFP8GDBC4pEZdKQ%3D%3D</x:v>
      </x:c>
      <x:c r="V146" s="68" t="str">
        <x:v>LNWZS/WXFP8GDBC4pEZdKQ==</x:v>
      </x:c>
      <x:c r="W146" s="68" t="str">
        <x:v>7cQDupwnUIWTR2NYcM6GGg==</x:v>
      </x:c>
      <x:c r="X146" s="68" t="str">
        <x:v>https://www.linkedin.com/company/ninetwothree?trk=public_jobs_jserp-result_job-search-card-subtitle</x:v>
      </x:c>
      <x:c r="Y146" s="68" t="str">
        <x:v>https://media.licdn.com/dms/image/v2/D4E0BAQGDJxP0hMr9mA/company-logo_100_100/company-logo_100_100/0/1710774500299/ninetwothree_logo?e=2147483647&amp;v=beta&amp;t=nsQX7hW9oS4m8frrLglq28MjTDjthN_OZbD1lxYGsJA</x:v>
      </x:c>
      <x:c r="Z146" s="68"/>
      <x:c r="AA146" s="68" t="str">
        <x:v>&lt;strong&gt;NineTwoThree AI Studio &lt;/strong&gt;is a premier product design, engineering, and marketing firm specializing in custom AI, web, and mobile applications for established brands and funded startups. We are based in Massachusetts but with an American and European staff and a strong, collaborative remote culture.&lt;br&gt;&lt;br&gt;We’re a team that loves doing good work with great people. Our relatively small size keeps us fast and nimble. The wealth of knowledge, experience and talent paired with proven recipes and best practices allows us to find opportunities to help new products succeed.&lt;br&gt;&lt;br&gt;With a portfolio of over &lt;strong&gt;150 launched products over 13 years&lt;/strong&gt;,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more.&lt;br&gt;&lt;br&gt;&lt;strong&gt;Job Description&lt;br&gt;&lt;br&gt;&lt;/strong&gt;Building,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end-to-end.&lt;br&gt;&lt;br&gt;&lt;strong&gt;You'll Probably Enjoy This Role If You&lt;br&gt;&lt;br&gt;&lt;/strong&gt;&lt;ul&gt;&lt;li&gt;Like framing complex, ambiguous problems and working through them to clear solutions&lt;/li&gt;&lt;li&gt;Enjoy ideating, building, and seeing things ship — then explaining clearly how and why they work&lt;/li&gt;&lt;li&gt;Prefer direct interaction with a mentor over distant management&lt;/li&gt;&lt;li&gt;Want autonomy and trust, not oversight for its own sake&lt;/li&gt;&lt;li&gt;Want to understand why you're building something, not just what to build&lt;/li&gt;&lt;li&gt;Are energised by seeing the whole picture — how a project connects to a client's business, a team's operations, and an emerging practice&lt;br&gt;&lt;br&gt;&lt;/li&gt;&lt;/ul&gt;&lt;strong&gt;You'll Probably Find This Role Frustrating If You&lt;br&gt;&lt;br&gt;&lt;/strong&gt;&lt;ul&gt;&lt;li&gt;Prefer to work deep in code with minimal client or stakeholder contact — the role sits in the middle of client delivery, not behind it&lt;/li&gt;&lt;li&gt;Are looking for a role with highly structured processes, detailed specifications, and predictable work — this department is actively shaping its own way of working, and the person in this seat will be part of that shaping&lt;br&gt;&lt;br&gt;&lt;/li&gt;&lt;/ul&gt;&lt;strong&gt;Requirements&lt;/strong&gt;2. Solutions Engineering &amp;amp; Client Delivery&lt;br&gt;&lt;br&gt;&lt;ul&gt;&lt;li&gt; Strategy &amp;amp; Growth&lt;/li&gt;&lt;li&gt;Pattern Contribution — Surfacing new approaches, tools, and workflows discovered during client delivery, and contributing them to the department's knowledge base and operating models. Ideas are validated on real client work before they become standard.&lt;/li&gt;&lt;li&gt;Continuous R&amp;amp;D — Spending dedicated, reported hours testing new AI tools, models, and frameworks relevant to active or upcoming client work. Findings are shared with the Practice Lead and the wider department.&lt;/li&gt;&lt;li&gt;Practice Building — Helping shape the way the department works as it scales — contributing to project templates, runbooks, evaluation approaches, and reusable components seeded from real delivered work.&lt;br&gt;&lt;br&gt;&lt;/li&gt;&lt;/ul&gt;This is the centre of gravity of the role. You'll be working alongside the Practice Lead and Account Manager on scoping, shaping, and solutioning new client engagements, then owning the delivery against those shaped briefs.&lt;br&gt;&lt;br&gt;&lt;ul&gt;&lt;li&gt;Discovery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grow.&lt;/li&gt;&lt;li&gt;Technical Feasibility — Evaluating client data, systems, and APIs to determine what's genuinely achievable within a proposed time budget. Flagging risks, rabbit holes, and integration blockers early, before commitments are made to the client.&lt;/li&gt;&lt;li&gt;Demo Build-Out — Building working demos for prospective clients that demonstrate the proposed solution against their real problem, ready to be presented on proposal calls.&lt;/li&gt;&lt;li&gt;Proposal &amp;amp; Scope Input — Contributing technical detail to proposals and statements of work — architecture approach, milestones, success criteria — which the Practice Lead translates into client-facing documents.&lt;/li&gt;&lt;li&gt;Client Onboarding &amp;amp; Education — Helping client teams understand and confidently use the systems we deliver. This includes walkthroughs, training sessions where relevant, and clear handover documentation.&lt;br&gt;&lt;br&gt;&lt;/li&gt;&lt;/ul&gt;3. Technical Execution&lt;br&gt;&lt;br&gt;You'll own the technical delivery of client projects end-to-end, inside the department's established approach.&lt;br&gt;&lt;br&gt;&lt;ul&gt;&lt;li&gt;Project Setup &amp;amp; Architecture — Standing up new client projects — repository, environments, tooling, third-party accounts — following the department's conventions. Designing the architecture of individual projects in line with 923's engineering and deployment standards.&lt;/li&gt;&lt;li&gt;System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up.&lt;/li&gt;&lt;li&gt;Agentic Design &amp;amp; Trade-offs — Making considered decisions about when to use agentic approaches versus deterministic pipelines versus human-in-the-loop steps. Understanding the trade-offs and being able to explain them clearly to the Practice Lead and to clients.&lt;/li&gt;&lt;li&gt;Hands-on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clients.&lt;/li&gt;&lt;li&gt;Prompt Engineering &amp;amp; Model Selection — Designing and refining the prompts, system instructions, and model choices that drive AI behaviour. Balancing accuracy, cost, latency, and privacy against the client's real constraints.&lt;/li&gt;&lt;li&gt;Data Engineering — Cleaning, structuring, and processing client data into a form the AI layer can work with. Building the ingestion and processing layers that feed the AI components.&lt;/li&gt;&lt;li&gt;Deployment — Working directly with 923's DevOps team to deploy services to client cloud accounts following 923's deployment standards — source control conventions, commit and PR protocols, secrets management, environment setup, and handover protocols.&lt;/li&gt;&lt;li&gt;Validation Before Production — Testing AI outputs against real client data before go-live. Building the dry-run and validation patterns that let clients sign off on output quality before we enable production writes. Post-deployment observability is set up to 923 standards.&lt;br&gt;&lt;br&gt;&lt;/li&gt;&lt;/ul&gt;4. Project &amp;amp; Quality Management&lt;br&gt;&lt;br&gt;&lt;ul&gt;&lt;li&gt;Project Tracking — Working from the department's Monday.com board, following established task, branch, and PR conventions. Tickets are written by the Practice Lead during onboarding; over time, you'll draft your own and the Practice Lead will review.&lt;/li&gt;&lt;li&gt;Client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clarity.&lt;/li&gt;&lt;li&gt;Code Review — Submitting clean PRs that pass pre-commit checks and link to tracked work. Engaging in constructive, question-based review with the Practice Lead and 923 engineering peers.&lt;/li&gt;&lt;li&gt;Quality Assurance — Testing AI outputs for failure modes, hallucinations, and edge-case behaviour before anything reaches a client. Implementing the validation patterns the department uses to build client trust.&lt;/li&gt;&lt;li&gt;Handover &amp;amp; Documentation — Completing the delivery checklist before any project closes — documented architecture, credentials handover, runbook, walkthrough video, and third-party account transfer to client billing.&lt;br&gt;&lt;br&gt;&lt;/li&gt;&lt;/ul&gt;5. Working Inside the Department&lt;br&gt;&lt;br&gt;The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grow.&lt;br&gt;&lt;br&gt;&lt;ul&gt;&lt;li&gt;Tooling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around.&lt;/li&gt;&lt;li&gt;Idea Flow — Ideas, improvements, and concerns flow through the Practice Lead, who carries them forward to the wider 923 leadership team as appropriate.&lt;/li&gt;&lt;li&gt;Documentation — Contributing to the department's operating model and shared framework as patterns stabilise from real delivery.&lt;br&gt;&lt;br&gt;&lt;/li&gt;&lt;/ul&gt;&lt;strong&gt;Benefits&lt;br&gt;&lt;br&gt;&lt;/strong&gt;&lt;ul&gt;&lt;li&gt;100% remote job&lt;/li&gt;&lt;li&gt;Annual paid vacation: 20 working days per year during the first 3 years, further increasing to 25 days in later years&lt;/li&gt;&lt;li&gt;Paid sick leave and holidays&lt;/li&gt;&lt;li&gt;Reimbursement of expenses for professional development courses/certifications (up to 100% in agreement with the Manager)&lt;/li&gt;&lt;li&gt;Well-being budget&lt;/li&gt;&lt;li&gt;Health Insurance allowance&lt;/li&gt;&lt;li&gt;Team and atmosphere: we hire people we trust, so you'll be the part of a strong positive engineering culture, a tightly-knit team of professionals with a good sense of humor&lt;br&gt;&lt;br&gt;&lt;/li&gt;&lt;/ul&gt;&lt;strong&gt;Hiring Process&lt;br&gt;&lt;br&gt;&lt;/strong&gt;We value your time and ours and make the process fast and easy. Our interview process takes the following steps: HR interview, second interview with Practice Lead and CTO, third interview with CEO (optional), Offer.&lt;br&gt;&lt;br&gt;&lt;strong&gt;Join us!&lt;/strong&gt;</x:v>
      </x:c>
      <x:c r="AB146" s="68" t="str">
        <x:v>NineTwoThree AI Studio is a premier product design, engineering, and marketing firm specializing in custom AI, web, and mobile applications for established brands and funded startups. We are based in Massachusetts but with an American and European staff and a strong, collaborative remote culture.
We’re a team that loves doing good work with great people. Our relatively small size keeps us fast and nimble. The wealth of knowledge, experience and talent paired with proven recipes and best practices allows us to find opportunities to help new products succeed.
With a portfolio of over 150 launched products over 13 years,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
Job Description
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
You'll Probably Enjoy This Role If You
- Like framing complex, ambiguous problems and working through them to clear solutions
- Enjoy ideating, building, and seeing things ship — then explaining clearly how and why they work
- Prefer direct interaction with a mentor over distant management
- Want autonomy and trust, not oversight for its own sake
- Want to understand why you're building something, not just what to build
- Are energised by seeing the whole picture — how a project connects to a client's business, a team's operations, and an emerging practice
You'll Probably Find This Role Frustrating If You
- Prefer to work deep in code with minimal client or stakeholder contact — the role sits in the middle of client delivery, not behind it
- Are looking for a role with highly structured processes, detailed specifications, and predictable work — this department is actively shaping its own way of working, and the person in this seat will be part of that shaping
Requirements2. Solutions Engineering &amp;amp; Client Delivery
-  Strategy &amp;amp; Growth
- Pattern Contribution — Surfacing new approaches, tools, and workflows discovered during client delivery, and contributing them to the department's knowledge base and operating models. Ideas are validated on real client work before they become standard.
- Continuous R&amp;amp;D — Spending dedicated, reported hours testing new AI tools, models, and frameworks relevant to active or upcoming client work. Findings are shared with the Practice Lead and the wider department.
- Practice Building — Helping shape the way the department works as it scales — contributing to project templates, runbooks, evaluation approaches, and reusable components seeded from real delivered work.
This is the centre of gravity of the role. You'll be working alongside the Practice Lead and Account Manager on scoping, shaping, and solutioning new client engagements, then owning the delivery against those shaped briefs.
- 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
- Technical Feasibility — Evaluating client data, systems, and APIs to determine what's genuinely achievable within a proposed time budget. Flagging risks, rabbit holes, and integration blockers early, before commitments are made to the client.
- Demo Build-Out — Building working demos for prospective clients that demonstrate the proposed solution against their real problem, ready to be presented on proposal calls.
- Proposal &amp;amp; Scope Input — Contributing technical detail to proposals and statements of work — architecture approach, milestones, success criteria — which the Practice Lead translates into client-facing documents.
- Client Onboarding &amp;amp; Education — Helping client teams understand and confidently use the systems we deliver. This includes walkthroughs, training sessions where relevant, and clear handover documentation.
3. Technical Execution
You'll own the technical delivery of client projects end-to-end, inside the department's established approach.
- Project Setup &amp;amp; Architecture — Standing up new client projects — repository, environments, tooling, third-party accounts — following the department's conventions. Designing the architecture of individual projects in line with 923's engineering and deployment standards.
- 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
- Agentic Design &amp;amp; Trade-offs — Making considered decisions about when to use agentic approaches versus deterministic pipelines versus human-in-the-loop steps. Understanding the trade-offs and being able to explain them clearly to the Practice Lead and to clients.
- 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
- Prompt Engineering &amp;amp; Model Selection — Designing and refining the prompts, system instructions, and model choices that drive AI behaviour. Balancing accuracy, cost, latency, and privacy against the client's real constraints.
- Data Engineering — Cleaning, structuring, and processing client data into a form the AI layer can work with. Building the ingestion and processing layers that feed the AI components.
- Deployment — Working directly with 923's DevOps team to deploy services to client cloud accounts following 923's deployment standards — source control conventions, commit and PR protocols, secrets management, environment setup, and handover protocols.
- Validation Before Production — Testing AI outputs against real client data before go-live. Building the dry-run and validation patterns that let clients sign off on output quality before we enable production writes. Post-deployment observability is set up to 923 standards.
4. Project &amp;amp; Quality Management
- Project Tracking — Working from the department's Monday.com board, following established task, branch, and PR conventions. Tickets are written by the Practice Lead during onboarding; over time, you'll draft your own and the Practice Lead will review.
- 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
- Code Review — Submitting clean PRs that pass pre-commit checks and link to tracked work. Engaging in constructive, question-based review with the Practice Lead and 923 engineering peers.
- Quality Assurance — Testing AI outputs for failure modes, hallucinations, and edge-case behaviour before anything reaches a client. Implementing the validation patterns the department uses to build client trust.
- Handover &amp;amp; Documentation — Completing the delivery checklist before any project closes — documented architecture, credentials handover, runbook, walkthrough video, and third-party account transfer to client billing.
5. Working Inside the Department
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
- 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
- Idea Flow — Ideas, improvements, and concerns flow through the Practice Lead, who carries them forward to the wider 923 leadership team as appropriate.
- Documentation — Contributing to the department's operating model and shared framework as patterns stabilise from real delivery.
Benefits
- 100% remote job
- Annual paid vacation: 20 working days per year during the first 3 years, further increasing to 25 days in later years
- Paid sick leave and holidays
- Reimbursement of expenses for professional development courses/certifications (up to 100% in agreement with the Manager)
- Well-being budget
- Health Insurance allowance
- Team and atmosphere: we hire people we trust, so you'll be the part of a strong positive engineering culture, a tightly-knit team of professionals with a good sense of humor
Hiring Process
We value your time and ours and make the process fast and easy. Our interview process takes the following steps: HR interview, second interview with Practice Lead and CTO, third interview with CEO (optional), Offer.
Join us!</x:v>
      </x:c>
      <x:c r="AC146" s="68" t="str">
        <x:v>Not Applicable</x:v>
      </x:c>
      <x:c r="AD146" s="68" t="str">
        <x:v>Full-time</x:v>
      </x:c>
      <x:c r="AE146" s="68" t="str">
        <x:v>Engineering and Information Technology</x:v>
      </x:c>
      <x:c r="AF146" s="68" t="str">
        <x:v>Software Development</x:v>
      </x:c>
      <x:c r="AG146" s="68" t="str">
        <x:v>https://www.linkedin.com/jobs/search/?position=1&amp;pageNum=0&amp;keywords=AI+Engineer&amp;location=United+States&amp;distance=0&amp;f_TPR=r604800</x:v>
      </x:c>
      <x:c r="AH146" s="68" t="str">
        <x:v>{'type': 'PostalAddress', 'streetAddress': '230 Independence Way', 'addressLocality': 'Danvers', 'addressRegion': 'Massachusetts', 'postalCode': '01923', 'addressCountry': 'US'}</x:v>
      </x:c>
      <x:c r="AI146" s="68" t="str">
        <x:v>https://www.ninetwothree.co/</x:v>
      </x:c>
      <x:c r="AJ146" s="68" t="str">
        <x:v>NineTwoThree builds custom AI solutions for companies like FanDuel, Consumer Reports and Experian</x:v>
      </x:c>
      <x:c r="AK146" s="68" t="str">
        <x:v>Headquartered in Boston, NineTwoThree partners with established brands and fast-growing startups looking to seize new business opportunities with the clever use of technology. As a product, engineering, design and marketing studio we work to understand your business, unique value proposition and the specific pain points you solve for your users.
Our team relentlessly pioneers AI, Web and Mobile solutions to create a competitive advantage for our clients.
Since founding the company in 2012 we have worked around the clock to established a track record of reliably creating value and delivering results for our partners and shareholders.
With an operating motto of “better software, faster”, the NineTwoThree team has received numerous industry recognitions, including:
***Awards***
• 2024 Top 50 AI firms, alongside the consulting of Microsoft, NVIDIA and IBM.
• Top AI agency, 
• Top Chatbot Agency, 
• #1 AI Agency in the US, 
• #3 Machine Learning Agency 
• #1 Boston AI Consulting Agency 
• Inc 5000 4 Years In A Row
*Top 10 most promising IoT companies by CIO Review</x:v>
      </x:c>
      <x:c r="AL146" s="68" t="str">
        <x:v>51.0</x:v>
      </x:c>
      <x:c r="AM146" s="68"/>
      <x:c r="AN146" s="68"/>
      <x:c r="AO146" s="68"/>
      <x:c r="AP146" s="68"/>
    </x:row>
    <x:row r="147" s="25" customFormat="1" ht="22" customHeight="1">
      <x:c r="A147" s="68" t="str">
        <x:v>4425924261</x:v>
      </x:c>
      <x:c r="B147" s="68" t="str">
        <x:v>Software Engineer, Embedded Agentic AI</x:v>
      </x:c>
      <x:c r="C147" s="68" t="str">
        <x:v>Roku</x:v>
      </x:c>
      <x:c r="D147" s="68" t="str">
        <x:v>Austin, TX</x:v>
      </x:c>
      <x:c r="E147" s="68" t="str">
        <x:v>Applied</x:v>
      </x:c>
      <x:c r="F147" s="68"/>
      <x:c r="G147" s="69"/>
      <x:c r="H147" s="85" t="str">
        <x:v>2026-08-12</x:v>
      </x:c>
      <x:c r="I147" s="85" t="str">
        <x:v>2026-08-12 13:18:49</x:v>
      </x:c>
      <x:c r="J147" s="68" t="str">
        <x:v>200</x:v>
      </x:c>
      <x:c r="K147" s="70"/>
      <x:c r="L147" s="86"/>
      <x:c r="M147" s="87"/>
      <x:c r="N147" s="71"/>
      <x:c r="O147" s="88"/>
      <x:c r="P147" s="89"/>
      <x:c r="Q147" s="89"/>
      <x:c r="R147" s="89"/>
      <x:c r="S147" s="73"/>
      <x:c r="T147" s="68"/>
      <x:c r="U147" s="68" t="str">
        <x:v>https://www.linkedin.com/jobs/view/software-engineer-embedded-agentic-ai-at-roku-4425924261?position=16&amp;pageNum=0&amp;refId=7cQDupwnUIWTR2NYcM6GGg%3D%3D&amp;trackingId=YH%2Fs9Dl6qyjxxm8lHeqAfg%3D%3D</x:v>
      </x:c>
      <x:c r="V147" s="68" t="str">
        <x:v>YH/s9Dl6qyjxxm8lHeqAfg==</x:v>
      </x:c>
      <x:c r="W147" s="68" t="str">
        <x:v>7cQDupwnUIWTR2NYcM6GGg==</x:v>
      </x:c>
      <x:c r="X147" s="68" t="str">
        <x:v>https://www.linkedin.com/company/roku?trk=public_jobs_jserp-result_job-search-card-subtitle</x:v>
      </x:c>
      <x:c r="Y147" s="68" t="str">
        <x:v>https://media.licdn.com/dms/image/v2/D560BAQGwtnEFj0grWQ/company-logo_100_100/B56ZaxohrVH0AU-/0/1746736913380/roku_logo?e=2147483647&amp;v=beta&amp;t=rlz3iSQYwGeir-xgrxNGxQJ9v_dNYWJiqDBsqHkr7L8</x:v>
      </x:c>
      <x:c r="Z147" s="68"/>
      <x:c r="AA147" s="68" t="str">
        <x:v>Teamwork makes the stream work.&lt;p&gt; &lt;/p&gt;&lt;strong&gt;Roku is changing how the world watches TV&lt;/strong&gt;&lt;p&gt;Roku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consumers.&lt;/p&gt;&lt;p&gt;From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disciplines.&lt;/p&gt;&lt;p&gt; &lt;/p&gt; About the team&lt;p&gt;Roku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matter.&lt;br&gt;As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production.&lt;br&gt;&lt;br&gt;&lt;br&gt;&lt;/p&gt;&lt;strong&gt;About the role&lt;/strong&gt;&lt;p&gt;We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improvement.&lt;br&gt;You will contribute directly to Roku’s AI strategy by engineering reusable components, optimizing agent workflows, and ensuring strong real-world performance in production environments.&lt;br&gt;&lt;br&gt;&lt;/p&gt;&lt;strong&gt;&lt;span&gt;How will I use AI at Roku?&lt;/span&gt;&lt;/strong&gt;&lt;span&gt; &lt;/span&gt;&lt;p&gt;&lt;span&gt;At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impact.&lt;/span&gt;&lt;span&gt; &lt;/span&gt;&lt;/p&gt;&lt;p&gt; &lt;br&gt;&lt;strong&gt;&lt;span&gt;We value &lt;/span&gt;&lt;/strong&gt;&lt;span&gt;your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you.&lt;/span&gt;&lt;strong&gt;&lt;span&gt; &lt;/span&gt;&lt;/strong&gt;&lt;span&gt; &lt;/span&gt;&lt;/p&gt;&lt;strong&gt;&lt;br&gt;What you’ll be doing&lt;/strong&gt;&lt;ul&gt;&lt;li&gt;Architect, develop, and deploy AI agents and copilots for Roku TV use cases, integrating them with internal systems, tools, and services. &lt;/li&gt;&lt;li&gt;Own end-to-end agentic systems from concept to production, including model selection, prompt and context design, retrieval strategies, backend services, and conversational interfaces. &lt;/li&gt;&lt;li&gt;Design and implement single-agent and multi-agent orchestration patterns, including handoffs, delegation, and cooperative task execution. &lt;/li&gt;&lt;li&gt;Build scalable RAG and context pipelines that provide high-quality grounding for AI systems and keep them aligned with evolving data sources and business logic. &lt;/li&gt;&lt;li&gt;Implement tool-calling, function-calling, and MCP-style integrations so agents can safely take actions and interact with the systems around them. &lt;/li&gt;&lt;li&gt;Create reusable agent templates, modular components, and paved-path patterns that accelerate adoption across teams and use cases. &lt;/li&gt;&lt;li&gt;Establish strong evaluation, observability, and monitoring for conversation quality, task success rate, latency, cost, and overall system performance. &lt;/li&gt;&lt;li&gt;Build safeguards that improve production readiness and reliability, including testing pipelines, controlled rollouts, drift detection, and mechanisms that prevent error amplification in multi-step workflows. &lt;/li&gt;&lt;li&gt;Prototype quickly, run experiments, and translate successful ideas into durable, scalable software solutions. &lt;/li&gt;&lt;li&gt;Partner closely with engineering, product, QA, infrastructure, and cross-functional teams to deliver meaningful business and customer outcomes. &lt;/li&gt;&lt;/ul&gt;&lt;p&gt; &lt;/p&gt;&lt;strong&gt;We’re excited if you have&lt;/strong&gt;&lt;ul&gt;&lt;li&gt;Bachelor’s or master’s degree in Computer Science, Computer Engineering, Electrical Engineering, Data Science, or a related technical field. &lt;/li&gt;&lt;li&gt;2+ years of experience in software engineering, AI/ML engineering, backend development, or adjacent domains, with strong software engineering fundamentals and the ability to build production-grade systems. &lt;/li&gt;&lt;li&gt;Strong proficiency in Python, plus experience with C/C++ or another systems language. &lt;/li&gt;&lt;li&gt;Hands-on experience with LLM-based systems, including prompt design, retrieval, tool use, memory handling, and agent orchestration patterns. &lt;/li&gt;&lt;li&gt;Experience building and maintaining RAG pipelines, agent frameworks, MCP servers or equivalent function-calling architectures, and conversational interfaces. &lt;/li&gt;&lt;li&gt;Familiarity with cloud platforms, REST APIs, containerization, and modern deployment environments. &lt;/li&gt;&lt;li&gt;Experience with observability, evaluation, experimentation, and feedback loops for AI systems in production. &lt;/li&gt;&lt;li&gt;Ability to work independently, manage ambiguity, move quickly, and deliver incrementally in a fast-paced environment. &lt;/li&gt;&lt;li&gt;Excellent communication skills, sound engineering judgment, and a collaborative working style. &lt;/li&gt;&lt;/ul&gt;&lt;p&gt; &lt;/p&gt;Nice to have&lt;ul&gt;&lt;li&gt;Experience with multi-agent frameworks or orchestration systems such as LangChain, AutoGen, or Semantic Kernel. &lt;/li&gt;&lt;li&gt;Experience with video, audio, TV, or edge-device environments, especially where latency, cost, and hardware constraints matter. &lt;/li&gt;&lt;li&gt;Familiarity with ML/DL frameworks such as PyTorch or TensorFlow. &lt;/li&gt;&lt;li&gt;Research experience, paper implementation experience, or a habit of applying emerging GenAI techniques pragmatically to real problems. &lt;/li&gt;&lt;/ul&gt;&lt;span&gt;&lt;/span&gt; &lt;strong&gt;&lt;span&gt;What's Roku's approach to hybrid working?&lt;/span&gt;&lt;/strong&gt;&lt;p&gt;Roku fosters an inclusive and collaborative environment where teams generally work in the office Monday through Thursday. Fridays are generally flexible for remote work, except for employees whose specific roles or assigned office location require five days' a week attendance.&lt;/p&gt;&lt;p&gt; &lt;/p&gt;&lt;strong&gt;What are some of the benefits?&lt;/strong&gt;&lt;p&gt;Roku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recruiter.&lt;/p&gt;&lt;p&gt; &lt;/p&gt;&lt;strong&gt;Accommodations&lt;/strong&gt;&lt;p&gt;Roku welcomes applicants of all backgrounds and provides reasonable accommodations and adjustments in accordance with applicable law. If you require reasonable accommodation at any point in the hiring process, please direct your inquiries to EmployeeRelations@Roku.com.&lt;/p&gt;&lt;p&gt; &lt;/p&gt;&lt;strong&gt;What should I know about Roku's culture?&lt;/strong&gt;&lt;p&gt;Roku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&lt;/p&gt;&lt;p&gt;We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&lt;/p&gt;&lt;p&gt;To learn more about Roku, our global footprint, and how we've grown, visit https://www.weareroku.com/factsheet.&lt;/p&gt;&lt;p&gt;By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WorkforcePrivacy@Roku.com.&lt;/p&gt;</x:v>
      </x:c>
      <x:c r="AB147" s="68" t="str">
        <x:v>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
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
About the role
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
You will contribute directly to Roku’s AI strategy by engineering reusable components, optimizing agent workflows, and ensuring strong real-world performance in production environments.
How will I use AI at Roku? 
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 
We value 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  
What you’ll be doing
- Architect, develop, and deploy AI agents and copilots for Roku TV use cases, integrating them with internal systems, tools, and services. 
- Own end-to-end agentic systems from concept to production, including model selection, prompt and context design, retrieval strategies, backend services, and conversational interfaces. 
- Design and implement single-agent and multi-agent orchestration patterns, including handoffs, delegation, and cooperative task execution. 
- Build scalable RAG and context pipelines that provide high-quality grounding for AI systems and keep them aligned with evolving data sources and business logic. 
- Implement tool-calling, function-calling, and MCP-style integrations so agents can safely take actions and interact with the systems around them. 
- Create reusable agent templates, modular components, and paved-path patterns that accelerate adoption across teams and use cases. 
- Establish strong evaluation, observability, and monitoring for conversation quality, task success rate, latency, cost, and overall system performance. 
- Build safeguards that improve production readiness and reliability, including testing pipelines, controlled rollouts, drift detection, and mechanisms that prevent error amplification in multi-step workflows. 
- Prototype quickly, run experiments, and translate successful ideas into durable, scalable software solutions. 
- Partner closely with engineering, product, QA, infrastructure, and cross-functional teams to deliver meaningful business and customer outcomes. 
 We’re excited if you have
- Bachelor’s or master’s degree in Computer Science, Computer Engineering, Electrical Engineering, Data Science, or a related technical field. 
- 2+ years of experience in software engineering, AI/ML engineering, backend development, or adjacent domains, with strong software engineering fundamentals and the ability to build production-grade systems. 
- Strong proficiency in Python, plus experience with C/C++ or another systems language. 
- Hands-on experience with LLM-based systems, including prompt design, retrieval, tool use, memory handling, and agent orchestration patterns. 
- Experience building and maintaining RAG pipelines, agent frameworks, MCP servers or equivalent function-calling architectures, and conversational interfaces. 
- Familiarity with cloud platforms, REST APIs, containerization, and modern deployment environments. 
- Experience with observability, evaluation, experimentation, and feedback loops for AI systems in production. 
- Ability to work independently, manage ambiguity, move quickly, and deliver incrementally in a fast-paced environment. 
- Excellent communication skills, sound engineering judgment, and a collaborative working style. 
 Nice to have
- Experience with multi-agent frameworks or orchestration systems such as LangChain, AutoGen, or Semantic Kernel. 
- Experience with video, audio, TV, or edge-device environments, especially where latency, cost, and hardware constraints matter. 
- Familiarity with ML/DL frameworks such as PyTorch or TensorFlow. 
- Research experience, paper implementation experience, or a habit of applying emerging GenAI techniques pragmatically to real problems.  What's Roku's approach to hybrid working?
Roku fosters an inclusive and collaborative environment where teams generally work in the office Monday through Thursday. Fridays are generally flexible for remote work, except for employees whose specific roles or assigned office location require five days' a week attendance.
 What are some of the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What should I know about Roku's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x:v>
      </x:c>
      <x:c r="AC147" s="68" t="str">
        <x:v>Not Applicable</x:v>
      </x:c>
      <x:c r="AD147" s="68" t="str">
        <x:v>Full-time</x:v>
      </x:c>
      <x:c r="AE147" s="68" t="str">
        <x:v>Engineering and Information Technology</x:v>
      </x:c>
      <x:c r="AF147" s="68" t="str">
        <x:v>Software Development</x:v>
      </x:c>
      <x:c r="AG147" s="68" t="str">
        <x:v>https://www.linkedin.com/jobs/search/?position=1&amp;pageNum=0&amp;keywords=AI+Engineer&amp;location=United+States&amp;distance=0&amp;f_TPR=r604800</x:v>
      </x:c>
      <x:c r="AH147" s="68" t="str">
        <x:v>{'type': 'PostalAddress', 'addressLocality': 'San Jose', 'addressRegion': 'California', 'addressCountry': 'US'}</x:v>
      </x:c>
      <x:c r="AI147" s="68" t="str">
        <x:v>https://www.weareroku.com/</x:v>
      </x:c>
      <x:c r="AJ147" s="68" t="str">
        <x:v>Amazing Individuals. Unstoppable Team.</x:v>
      </x:c>
      <x:c r="AK147" s="68" t="str">
        <x:v>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 </x:v>
      </x:c>
      <x:c r="AL147" s="68" t="str">
        <x:v>4459.0</x:v>
      </x:c>
      <x:c r="AM147" s="68"/>
      <x:c r="AN147" s="68"/>
      <x:c r="AO147" s="68"/>
      <x:c r="AP147" s="68"/>
    </x:row>
    <x:row r="148" s="25" customFormat="1" ht="22" customHeight="1">
      <x:c r="A148" s="68" t="str">
        <x:v>4453116954</x:v>
      </x:c>
      <x:c r="B148" s="68" t="str">
        <x:v>Machine Learning Engineer</x:v>
      </x:c>
      <x:c r="C148" s="68" t="str">
        <x:v>Alfa-Executive Solutions</x:v>
      </x:c>
      <x:c r="D148" s="68" t="str">
        <x:v>Massachusetts, United States</x:v>
      </x:c>
      <x:c r="E148" s="68" t="str">
        <x:v>Applied</x:v>
      </x:c>
      <x:c r="F148" s="68"/>
      <x:c r="G148" s="69"/>
      <x:c r="H148" s="85" t="str">
        <x:v>2026-08-12</x:v>
      </x:c>
      <x:c r="I148" s="85" t="str">
        <x:v>2026-08-12 13:18:49</x:v>
      </x:c>
      <x:c r="J148" s="68" t="str">
        <x:v>200</x:v>
      </x:c>
      <x:c r="K148" s="70"/>
      <x:c r="L148" s="86"/>
      <x:c r="M148" s="87"/>
      <x:c r="N148" s="71"/>
      <x:c r="O148" s="88"/>
      <x:c r="P148" s="89"/>
      <x:c r="Q148" s="89"/>
      <x:c r="R148" s="89"/>
      <x:c r="S148" s="73"/>
      <x:c r="T148" s="68"/>
      <x:c r="U148" s="68" t="str">
        <x:v>https://www.linkedin.com/jobs/view/machine-learning-engineer-at-alfa-executive-solutions-4453116954?position=15&amp;pageNum=0&amp;refId=7cQDupwnUIWTR2NYcM6GGg%3D%3D&amp;trackingId=GYdItECesgYqhyJiDWsqNA%3D%3D</x:v>
      </x:c>
      <x:c r="V148" s="68" t="str">
        <x:v>GYdItECesgYqhyJiDWsqNA==</x:v>
      </x:c>
      <x:c r="W148" s="68" t="str">
        <x:v>7cQDupwnUIWTR2NYcM6GGg==</x:v>
      </x:c>
      <x:c r="X148" s="68" t="str">
        <x:v>https://uk.linkedin.com/company/alfa-executive-solutions?trk=public_jobs_jserp-result_job-search-card-subtitle</x:v>
      </x:c>
      <x:c r="Y148" s="68" t="str">
        <x:v>https://media.licdn.com/dms/image/v2/D4E0BAQHSGuf_rKgQ7A/company-logo_100_100/B4EZ7LXGlNHAAI-/0/1781528292099/alfa_executive_solutions_logo?e=2147483647&amp;v=beta&amp;t=jnpCWqFS39DXQwJthuEYcTwtzhoPFXMmNS2YVX7YoxQ</x:v>
      </x:c>
      <x:c r="Z148" s="68"/>
      <x:c r="AA148" s="68" t="str">
        <x:v>&lt;p&gt;&lt;strong&gt;Machine Learning Engineer &lt;/strong&gt;&lt;/p&gt;&lt;p&gt;&lt;strong&gt;Location&lt;/strong&gt;: Boston, MA, USA&lt;/p&gt;&lt;p&gt;&lt;strong&gt;Sector&lt;/strong&gt;: AI&lt;/p&gt;&lt;p&gt;&lt;strong&gt;Base Salary&lt;/strong&gt;: $170k&lt;/p&gt;&lt;p&gt;&lt;strong&gt;Benefits&lt;/strong&gt;: 401k, Generous Bonus scheme, Full medical and Dental, unlimited PTO, Executive level car/allowance.&lt;/p&gt;&lt;p&gt;&lt;br&gt;&lt;/p&gt;&lt;p&gt;Our client is a fast-growing technology leader in Boston, MA, is seeking a talented Machine Learning Engineer to join its dynamic AI team.&lt;/p&gt;&lt;p&gt;&lt;br&gt;&lt;/p&gt;&lt;p&gt;This hybrid role offers the opportunity to design, build, and deploy scalable machine learning models that solve complex, real-world problems.&lt;/p&gt;&lt;p&gt;&lt;br&gt;&lt;/p&gt;&lt;p&gt;&lt;strong&gt;The Role&lt;/strong&gt;&lt;/p&gt;&lt;p&gt;&lt;br&gt;&lt;/p&gt;&lt;ul&gt;&lt;li&gt;Design, train, and deploy production-grade machine learning models and algorithms.&lt;/li&gt;&lt;li&gt;Collaborate with data scientists and software engineers to optimize pipelines and continuous integration.&lt;/li&gt;&lt;li&gt;Evaluate and refine existing ML models to improve performance, latency, and scalability.&lt;/li&gt;&lt;li&gt;Monitor deployed systems to ensure model reliability, stability, and efficiency in live environments.&lt;/li&gt;&lt;/ul&gt;&lt;p&gt;&lt;br&gt;&lt;/p&gt;&lt;p&gt;&lt;strong&gt;The Person&lt;/strong&gt;&lt;/p&gt;&lt;p&gt;&lt;br&gt;&lt;/p&gt;&lt;ul&gt;&lt;li&gt;BS or MS in Computer Science, Data Science, or a related quantitative field.&lt;/li&gt;&lt;li&gt;3+ years of experience building and deploying machine learning models in production environments.&lt;/li&gt;&lt;li&gt;Strong proficiency in Python and frameworks such as PyTorch, TensorFlow, or Scikit-Learn.&lt;/li&gt;&lt;/ul&gt;&lt;p&gt;Hands-on experience with cloud platforms (AWS, GCP, or Azure) and containerization tools (Docker, Kubernetes).&lt;/p&gt;&lt;ul&gt;&lt;li&gt;Strong background in data structures, software engineering best practices, and MLOps workflows.&lt;/li&gt;&lt;/ul&gt;&lt;p&gt;&lt;br&gt;&lt;/p&gt;&lt;p&gt;Unfortunately, due to our high number of applications we are unable to respond to all applicants. If you do not hear back within 2 weeks of submitting your application, please assume your application has been unsuccessful.&lt;/p&gt;</x:v>
      </x:c>
      <x:c r="AB148" s="68" t="str">
        <x:v>
Machine Learning Engineer 
Location: Boston, MA, USA
Sector: AI
Base Salary: $170k
Benefits: 401k, Generous Bonus scheme, Full medical and Dental, unlimited PTO, Executive level car/allowance.
Our client is a fast-growing technology leader in Boston, MA, is seeking a talented Machine Learning Engineer to join its dynamic AI team.
This hybrid role offers the opportunity to design, build, and deploy scalable machine learning models that solve complex, real-world problems.
The Role
- Design, train, and deploy production-grade machine learning models and algorithms.
- Collaborate with data scientists and software engineers to optimize pipelines and continuous integration.
- Evaluate and refine existing ML models to improve performance, latency, and scalability.
- Monitor deployed systems to ensure model reliability, stability, and efficiency in live environments.
The Person
- BS or MS in Computer Science, Data Science, or a related quantitative field.
- 3+ years of experience building and deploying machine learning models in production environments.
- Strong proficiency in Python and frameworks such as PyTorch, TensorFlow, or Scikit-Learn.
Hands-on experience with cloud platforms (AWS, GCP, or Azure) and containerization tools (Docker, Kubernetes).
- Strong background in data structures, software engineering best practices, and MLOps workflows.
Unfortunately, due to our high number of applications we are unable to respond to all applicants. If you do not hear back within 2 weeks of submitting your application, please assume your application has been unsuccessful.</x:v>
      </x:c>
      <x:c r="AC148" s="68" t="str">
        <x:v>Not Applicable</x:v>
      </x:c>
      <x:c r="AD148" s="68" t="str">
        <x:v>Full-time</x:v>
      </x:c>
      <x:c r="AE148" s="68" t="str">
        <x:v>Engineering, Design, and Information Technology</x:v>
      </x:c>
      <x:c r="AF148" s="68" t="str">
        <x:v>Business Consulting and Services</x:v>
      </x:c>
      <x:c r="AG148" s="68" t="str">
        <x:v>https://www.linkedin.com/jobs/search/?position=1&amp;pageNum=0&amp;keywords=AI+Engineer&amp;location=United+States&amp;distance=0&amp;f_TPR=r604800</x:v>
      </x:c>
      <x:c r="AH148" s="68" t="str">
        <x:v>{'type': 'PostalAddress', 'addressLocality': 'Leeds', 'addressCountry': 'GB'}</x:v>
      </x:c>
      <x:c r="AI148" s="68" t="str">
        <x:v>https://alfa-executive.com/</x:v>
      </x:c>
      <x:c r="AJ148" s="68"/>
      <x:c r="AK148" s="68" t="str">
        <x:v> At Alfa Executive Solutions, we possess the expertise and resources to successfully deliver candidates who are the perfect fit for your needs. 
Trust Alfa Executive Solutions to bring you the ideal candidate for your senior management or board level position.
If you're looking for the next career progression move be sure to check our website and LinkedIn posts. All roles posted are real roles, unlike some companies out there. </x:v>
      </x:c>
      <x:c r="AL148" s="68" t="str">
        <x:v>10.0</x:v>
      </x:c>
      <x:c r="AM148" s="68"/>
      <x:c r="AN148" s="68"/>
      <x:c r="AO148" s="68"/>
      <x:c r="AP148" s="68"/>
    </x:row>
    <x:row r="149" s="25" customFormat="1" ht="22" customHeight="1">
      <x:c r="A149" s="68" t="str">
        <x:v>4452722393</x:v>
      </x:c>
      <x:c r="B149" s="68" t="str">
        <x:v>AI Engineer (Python, Machine Learning &amp; Generative AI)</x:v>
      </x:c>
      <x:c r="C149" s="68" t="str">
        <x:v>ATC</x:v>
      </x:c>
      <x:c r="D149" s="68" t="str">
        <x:v>Texas, United States</x:v>
      </x:c>
      <x:c r="E149" s="68" t="str">
        <x:v>Applied</x:v>
      </x:c>
      <x:c r="F149" s="68"/>
      <x:c r="G149" s="69"/>
      <x:c r="H149" s="85" t="str">
        <x:v>2026-08-12</x:v>
      </x:c>
      <x:c r="I149" s="85" t="str">
        <x:v>2026-08-12 13:18:49</x:v>
      </x:c>
      <x:c r="J149" s="68" t="str">
        <x:v>76</x:v>
      </x:c>
      <x:c r="K149" s="70"/>
      <x:c r="L149" s="86"/>
      <x:c r="M149" s="87"/>
      <x:c r="N149" s="71"/>
      <x:c r="O149" s="88"/>
      <x:c r="P149" s="89"/>
      <x:c r="Q149" s="89"/>
      <x:c r="R149" s="89"/>
      <x:c r="S149" s="73"/>
      <x:c r="T149" s="68"/>
      <x:c r="U149" s="68" t="str">
        <x:v>https://www.linkedin.com/jobs/view/ai-engineer-python-machine-learning-generative-ai-at-atc-4452722393?position=14&amp;pageNum=0&amp;refId=7cQDupwnUIWTR2NYcM6GGg%3D%3D&amp;trackingId=1ddA%2FJiuA0HrndXYLyhP4A%3D%3D</x:v>
      </x:c>
      <x:c r="V149" s="68" t="str">
        <x:v>1ddA/JiuA0HrndXYLyhP4A==</x:v>
      </x:c>
      <x:c r="W149" s="68" t="str">
        <x:v>7cQDupwnUIWTR2NYcM6GGg==</x:v>
      </x:c>
      <x:c r="X149" s="68" t="str">
        <x:v>https://www.linkedin.com/company/american-technology-consulting?trk=public_jobs_jserp-result_job-search-card-subtitle</x:v>
      </x:c>
      <x:c r="Y149" s="68" t="str">
        <x:v>https://media.licdn.com/dms/image/v2/C4E0BAQHR71hWsUHv0g/company-logo_100_100/company-logo_100_100/0/1630586230009/american_technology_consulting_logo?e=2147483647&amp;v=beta&amp;t=5jQ1atzm92pOlcmnVypSolo7YAtJLJrCQBcBVzy8_4I</x:v>
      </x:c>
      <x:c r="Z149" s="68"/>
      <x:c r="AA149" s="68" t="str">
        <x:v>&lt;p&gt;&lt;strong&gt;Job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x:v>
      </x:c>
      <x:c r="AB149" s="68" t="str">
        <x:v>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x:v>
      </x:c>
      <x:c r="AC149" s="68" t="str">
        <x:v>Associate</x:v>
      </x:c>
      <x:c r="AD149" s="68" t="str">
        <x:v>Full-time</x:v>
      </x:c>
      <x:c r="AE149" s="68" t="str">
        <x:v>Engineering</x:v>
      </x:c>
      <x:c r="AF149" s="68" t="str">
        <x:v>Information Technology &amp; Services</x:v>
      </x:c>
      <x:c r="AG149" s="68" t="str">
        <x:v>https://www.linkedin.com/jobs/search/?position=1&amp;pageNum=0&amp;keywords=AI+Engineer&amp;location=United+States&amp;distance=0&amp;f_TPR=r604800</x:v>
      </x:c>
      <x:c r="AH149" s="68" t="str">
        <x:v>{'type': 'PostalAddress', 'streetAddress': '12951 University Ave', 'addressLocality': 'Clive', 'addressRegion': 'Iowa', 'postalCode': '50325', 'addressCountry': 'US'}</x:v>
      </x:c>
      <x:c r="AI149" s="68" t="str">
        <x:v>http://www.atc.xyz</x:v>
      </x:c>
      <x:c r="AJ149" s="68" t="str">
        <x:v>Enterprise AI | SaaS product Development
 </x:v>
      </x:c>
      <x:c r="AK149" s="68" t="str">
        <x:v>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x:v>
      </x:c>
      <x:c r="AL149" s="68" t="str">
        <x:v>1756.0</x:v>
      </x:c>
      <x:c r="AM149" s="68" t="str">
        <x:v>Yaser Sayed</x:v>
      </x:c>
      <x:c r="AN149" s="68" t="str">
        <x:v>Operations Intelligence and Business Process Manager</x:v>
      </x:c>
      <x:c r="AO149" s="68" t="str">
        <x:v>https://media.licdn.com/dms/image/v2/D5603AQENacPJkalSNw/profile-displayphoto-scale_400_400/B56Z1t_pD_IcAg-/0/1775666899478?e=2147483647&amp;v=beta&amp;t=MDQA-6iGFCjHqGZmY-NnrNR-HdRKG4T4HRB-mG3-aAk</x:v>
      </x:c>
      <x:c r="AP149" s="68" t="str">
        <x:v>https://www.linkedin.com/in/yaser-sayed-11830070</x:v>
      </x:c>
    </x:row>
    <x:row r="150" s="25" customFormat="1" ht="22" customHeight="1">
      <x:c r="A150" s="68" t="str">
        <x:v>4451968504</x:v>
      </x:c>
      <x:c r="B150" s="68" t="str">
        <x:v>Applied AI Engineer</x:v>
      </x:c>
      <x:c r="C150" s="68" t="str">
        <x:v>NVIDIA</x:v>
      </x:c>
      <x:c r="D150" s="68" t="str">
        <x:v>Florida, United States</x:v>
      </x:c>
      <x:c r="E150" s="68" t="str">
        <x:v>Applied</x:v>
      </x:c>
      <x:c r="F150" s="68"/>
      <x:c r="G150" s="69"/>
      <x:c r="H150" s="85" t="str">
        <x:v>2026-08-12</x:v>
      </x:c>
      <x:c r="I150" s="85" t="str">
        <x:v>2026-08-12 13:18:49</x:v>
      </x:c>
      <x:c r="J150" s="68" t="str">
        <x:v>61</x:v>
      </x:c>
      <x:c r="K150" s="70"/>
      <x:c r="L150" s="86"/>
      <x:c r="M150" s="87"/>
      <x:c r="N150" s="71"/>
      <x:c r="O150" s="88"/>
      <x:c r="P150" s="89"/>
      <x:c r="Q150" s="89"/>
      <x:c r="R150" s="89"/>
      <x:c r="S150" s="73"/>
      <x:c r="T150" s="68"/>
      <x:c r="U150" s="68" t="str">
        <x:v>https://www.linkedin.com/jobs/view/applied-ai-engineer-at-nvidia-4451968504?position=10&amp;pageNum=0&amp;refId=7cQDupwnUIWTR2NYcM6GGg%3D%3D&amp;trackingId=%2BQg9PQV5fcdbqy9ZtmcNnA%3D%3D</x:v>
      </x:c>
      <x:c r="V150" s="68" t="str">
        <x:v>+Qg9PQV5fcdbqy9ZtmcNnA==</x:v>
      </x:c>
      <x:c r="W150" s="68" t="str">
        <x:v>7cQDupwnUIWTR2NYcM6GGg==</x:v>
      </x:c>
      <x:c r="X150" s="68" t="str">
        <x:v>https://www.linkedin.com/company/nvidia?trk=public_jobs_jserp-result_job-search-card-subtitle</x:v>
      </x:c>
      <x:c r="Y150" s="68" t="str">
        <x:v>https://media.licdn.com/dms/image/v2/D560BAQGV36q2EowSyw/company-logo_100_100/company-logo_100_100/0/1724881581208/nvidia_logo?e=2147483647&amp;v=beta&amp;t=oCxt8kGhi0AfLuVDY7D_jzkUIEe-fAV5Q5eLaRxXzOE</x:v>
      </x:c>
      <x:c r="Z150" s="68"/>
      <x:c r="AA150" s="68" t="str">
        <x:v>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x:v>
      </x:c>
      <x:c r="AB150" s="68" t="str">
        <x:v>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x:v>
      </x:c>
      <x:c r="AC150" s="68" t="str">
        <x:v>Not Applicable</x:v>
      </x:c>
      <x:c r="AD150" s="68" t="str">
        <x:v>Full-time</x:v>
      </x:c>
      <x:c r="AE150" s="68" t="str">
        <x:v>Engineering</x:v>
      </x:c>
      <x:c r="AF150" s="68" t="str">
        <x:v>Computer Hardware Manufacturing</x:v>
      </x:c>
      <x:c r="AG150" s="68" t="str">
        <x:v>https://www.linkedin.com/jobs/search/?position=1&amp;pageNum=0&amp;keywords=AI+Engineer&amp;location=United+States&amp;distance=0&amp;f_TPR=r604800</x:v>
      </x:c>
      <x:c r="AH150" s="68" t="str">
        <x:v>{'type': 'PostalAddress', 'streetAddress': '2701 San Tomas Expressway', 'addressLocality': 'Santa Clara', 'addressRegion': 'CA', 'postalCode': '95050', 'addressCountry': 'US'}</x:v>
      </x:c>
      <x:c r="AI150" s="68" t="str">
        <x:v>http://www.nvidia.com</x:v>
      </x:c>
      <x:c r="AJ150" s="68"/>
      <x:c r="AK150" s="68" t="str">
        <x:v>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x:v>
      </x:c>
      <x:c r="AL150" s="68" t="str">
        <x:v>50837.0</x:v>
      </x:c>
      <x:c r="AM150" s="68"/>
      <x:c r="AN150" s="68"/>
      <x:c r="AO150" s="68"/>
      <x:c r="AP150" s="68"/>
    </x:row>
    <x:row r="151" s="25" customFormat="1" ht="22" customHeight="1">
      <x:c r="A151" s="68" t="str">
        <x:v>4448408140</x:v>
      </x:c>
      <x:c r="B151" s="68" t="str">
        <x:v>AI Engineer [33322]</x:v>
      </x:c>
      <x:c r="C151" s="68" t="str">
        <x:v>Stealth Startup</x:v>
      </x:c>
      <x:c r="D151" s="68" t="str">
        <x:v>Miami, FL</x:v>
      </x:c>
      <x:c r="E151" s="68" t="str">
        <x:v>Applied</x:v>
      </x:c>
      <x:c r="F151" s="68"/>
      <x:c r="G151" s="69"/>
      <x:c r="H151" s="85" t="str">
        <x:v>2026-08-06</x:v>
      </x:c>
      <x:c r="I151" s="85" t="str">
        <x:v>2026-08-12 13:18:49</x:v>
      </x:c>
      <x:c r="J151" s="68" t="str">
        <x:v>60</x:v>
      </x:c>
      <x:c r="K151" s="70"/>
      <x:c r="L151" s="86"/>
      <x:c r="M151" s="87"/>
      <x:c r="N151" s="71"/>
      <x:c r="O151" s="88"/>
      <x:c r="P151" s="89"/>
      <x:c r="Q151" s="89"/>
      <x:c r="R151" s="89"/>
      <x:c r="S151" s="73"/>
      <x:c r="T151" s="68"/>
      <x:c r="U151" s="68" t="str">
        <x:v>https://www.linkedin.com/jobs/view/ai-engineer-33322-at-stealth-startup-4448408140?position=9&amp;pageNum=0&amp;refId=7cQDupwnUIWTR2NYcM6GGg%3D%3D&amp;trackingId=vH4IZfGbrTr9HedtiGv8Gw%3D%3D</x:v>
      </x:c>
      <x:c r="V151" s="68" t="str">
        <x:v>vH4IZfGbrTr9HedtiGv8Gw==</x:v>
      </x:c>
      <x:c r="W151" s="68" t="str">
        <x:v>7cQDupwnUIWTR2NYcM6GGg==</x:v>
      </x:c>
      <x:c r="X151" s="68" t="str">
        <x:v>https://www.linkedin.com/company/stealth-startupsssss?trk=public_jobs_jserp-result_job-search-card-subtitle</x:v>
      </x:c>
      <x:c r="Y151" s="68" t="str">
        <x:v>https://media.licdn.com/dms/image/v2/C510BAQHzVMHO2vjOnQ/company-logo_100_100/company-logo_100_100/0/1630575305777/stealth_startupsssss_logo?e=2147483647&amp;v=beta&amp;t=VwGAeg44UBtuYu5RpnCYnZA9iG_XH2rTguk_iSMNvt0</x:v>
      </x:c>
      <x:c r="Z151" s="68"/>
      <x:c r="AA151" s="68" t="str">
        <x:v>&lt;p&gt;The Opportunity&lt;/p&gt;&lt;p&gt;Logistics moves the physical world. It's one of the largest industries on earth — and it still runs on people, spreadsheets, and decades-old systems stitched together by hand. Almost none of it has been touched by modern AI. That's where we need your help.&lt;/p&gt;&lt;p&gt;We're reinventing logistics from the inside. Not another dashboard that saves an operator ten minutes — AI coworkers that do the work itself.&lt;/p&gt;&lt;p&gt;That's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operate.&lt;/p&gt;&lt;p&gt;Why Join Us&lt;/p&gt;&lt;ul&gt;&lt;li&gt;&lt;strong&gt;Well-funded startup&lt;/strong&gt; with 36+ months of runway, backed by leading early-stage investors.&lt;/li&gt;&lt;li&gt;&lt;strong&gt;Real product traction&lt;/strong&gt; with production deployments, active design partners, and a growing data flywheel.&lt;/li&gt;&lt;li&gt;&lt;strong&gt;Massive market opportunity&lt;/strong&gt; with thousands of logistics enterprises ready for AI-powered automation.&lt;/li&gt;&lt;li&gt;&lt;strong&gt;Experienced leadership team&lt;/strong&gt; with a track record of building, scaling, and successfully exiting software companies.&lt;/li&gt;&lt;/ul&gt;&lt;p&gt;About the Role&lt;/p&gt;&lt;p&gt;We're looking for a &lt;strong&gt;Founding AI Engineer&lt;/strong&gt;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team.&lt;/p&gt;&lt;p&gt;The platform infrastructure—including data pipelines, integrations, security, and cloud infrastructure—is managed separately. Your focus is making the product intelligent.&lt;/p&gt;&lt;p&gt;You'll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software.&lt;/p&gt;&lt;p&gt;What We're Looking For&lt;/p&gt;&lt;p&gt;Required Experience&lt;/p&gt;&lt;ul&gt;&lt;li&gt;Proven experience deploying applied AI systems into production and owning them through real-world usage.&lt;/li&gt;&lt;li&gt;Experience taking LLM-powered applications from prototype to production, where accuracy and reliability matter.&lt;/li&gt;&lt;li&gt;Strong background building applied AI systems rather than conducting ML or model research.&lt;/li&gt;&lt;li&gt;Deep understanding of modern agentic AI architectures and workflows.&lt;/li&gt;&lt;/ul&gt;&lt;p&gt;Preferred Qualifications&lt;/p&gt;&lt;ul&gt;&lt;li&gt;Expertise with evaluation frameworks, guardrails, and AI system reliability.&lt;/li&gt;&lt;li&gt;Experience identifying failure modes and designing robust mitigation strategies.&lt;/li&gt;&lt;li&gt;Strong Python development skills and experience building production-grade AI applications.&lt;/li&gt;&lt;li&gt;Entrepreneurial mindset with the ability to work independently and make architectural decisions.&lt;/li&gt;&lt;/ul&gt;&lt;p&gt;&lt;br&gt;&lt;/p&gt;</x:v>
      </x:c>
      <x:c r="AB151" s="68" t="str">
        <x:v>
The Opportunity
Logistics moves the physical world. It's one of the largest industries on earth — and it still runs on people, spreadsheets, and decades-old systems stitched together by hand. Almost none of it has been touched by modern AI. That's where we need your help.
We're reinventing logistics from the inside. Not another dashboard that saves an operator ten minutes — AI coworkers that do the work itself.
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
Why Join Us
- Well-funded startup with 36+ months of runway, backed by leading early-stage investors.
- Real product traction with production deployments, active design partners, and a growing data flywheel.
- Massive market opportunity with thousands of logistics enterprises ready for AI-powered automation.
- Experienced leadership team with a track record of building, scaling, and successfully exiting software companies.
About the Role
We're looking for a Founding AI Engineer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
The platform infrastructure—including data pipelines, integrations, security, and cloud infrastructure—is managed separately. Your focus is making the product intelligent.
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
What We're Looking For
Required Experience
- Proven experience deploying applied AI systems into production and owning them through real-world usage.
- Experience taking LLM-powered applications from prototype to production, where accuracy and reliability matter.
- Strong background building applied AI systems rather than conducting ML or model research.
- Deep understanding of modern agentic AI architectures and workflows.
Preferred Qualifications
- Expertise with evaluation frameworks, guardrails, and AI system reliability.
- Experience identifying failure modes and designing robust mitigation strategies.
- Strong Python development skills and experience building production-grade AI applications.
- Entrepreneurial mindset with the ability to work independently and make architectural decisions.
</x:v>
      </x:c>
      <x:c r="AC151" s="68" t="str">
        <x:v>Mid-Senior level</x:v>
      </x:c>
      <x:c r="AD151" s="68" t="str">
        <x:v>Full-time</x:v>
      </x:c>
      <x:c r="AE151" s="68" t="str">
        <x:v>Other</x:v>
      </x:c>
      <x:c r="AF151" s="68" t="str">
        <x:v>Software Development</x:v>
      </x:c>
      <x:c r="AG151" s="68" t="str">
        <x:v>https://www.linkedin.com/jobs/search/?position=1&amp;pageNum=0&amp;keywords=AI+Engineer&amp;location=United+States&amp;distance=0&amp;f_TPR=r604800</x:v>
      </x:c>
      <x:c r="AH151" s="68" t="str">
        <x:v>{'type': 'PostalAddress', 'streetAddress': '111', 'addressLocality': 'los angeles', 'addressRegion': 'california', 'postalCode': '90010', 'addressCountry': 'US'}</x:v>
      </x:c>
      <x:c r="AI151" s="68" t="str">
        <x:v>http://stealthstartup.com</x:v>
      </x:c>
      <x:c r="AJ151" s="68"/>
      <x:c r="AK151" s="68" t="str">
        <x:v>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x:v>
      </x:c>
      <x:c r="AL151" s="68" t="str">
        <x:v>588.0</x:v>
      </x:c>
      <x:c r="AM151" s="68"/>
      <x:c r="AN151" s="68"/>
      <x:c r="AO151" s="68"/>
      <x:c r="AP151" s="68"/>
    </x:row>
    <x:row r="152" s="25" customFormat="1" ht="22" customHeight="1">
      <x:c r="A152" s="68" t="str">
        <x:v>4450120094</x:v>
      </x:c>
      <x:c r="B152" s="68" t="str">
        <x:v>Artificial Intelligence Engineer</x:v>
      </x:c>
      <x:c r="C152" s="68" t="str">
        <x:v>VMC Soft Technologies, Inc</x:v>
      </x:c>
      <x:c r="D152" s="68" t="str">
        <x:v>Austin, TX</x:v>
      </x:c>
      <x:c r="E152" s="68" t="str">
        <x:v>Applied</x:v>
      </x:c>
      <x:c r="F152" s="68"/>
      <x:c r="G152" s="69"/>
      <x:c r="H152" s="85" t="str">
        <x:v>2026-08-11</x:v>
      </x:c>
      <x:c r="I152" s="85" t="str">
        <x:v>2026-08-12 13:18:49</x:v>
      </x:c>
      <x:c r="J152" s="68" t="str">
        <x:v>175</x:v>
      </x:c>
      <x:c r="K152" s="70"/>
      <x:c r="L152" s="86"/>
      <x:c r="M152" s="87"/>
      <x:c r="N152" s="71"/>
      <x:c r="O152" s="88"/>
      <x:c r="P152" s="89"/>
      <x:c r="Q152" s="89"/>
      <x:c r="R152" s="89"/>
      <x:c r="S152" s="73"/>
      <x:c r="T152" s="68"/>
      <x:c r="U152" s="68" t="str">
        <x:v>https://www.linkedin.com/jobs/view/artificial-intelligence-engineer-at-vmc-soft-technologies-inc-4450120094?position=8&amp;pageNum=0&amp;refId=7cQDupwnUIWTR2NYcM6GGg%3D%3D&amp;trackingId=lvTrSjBA%2FyRZSGKIdRdSUg%3D%3D</x:v>
      </x:c>
      <x:c r="V152" s="68" t="str">
        <x:v>lvTrSjBA/yRZSGKIdRdSUg==</x:v>
      </x:c>
      <x:c r="W152" s="68" t="str">
        <x:v>7cQDupwnUIWTR2NYcM6GGg==</x:v>
      </x:c>
      <x:c r="X152" s="68" t="str">
        <x:v>https://www.linkedin.com/company/vmc-soft-technologies-inc?trk=public_jobs_jserp-result_job-search-card-subtitle</x:v>
      </x:c>
      <x:c r="Y152" s="68" t="str">
        <x:v>https://media.licdn.com/dms/image/v2/C560BAQFYJzWt3lrZxw/company-logo_100_100/company-logo_100_100/0/1638373652009?e=2147483647&amp;v=beta&amp;t=Pfcw2_LMNEAvSJNoziri-r2SfMechYEYiQiA8OBSzUo</x:v>
      </x:c>
      <x:c r="Z152" s="68"/>
      <x:c r="AA152" s="68" t="str">
        <x:v>&lt;p&gt;Job Title : &lt;strong&gt;AI Engineer &lt;/strong&gt;&lt;/p&gt;&lt;p&gt;Location : Austin, TX&lt;/p&gt;&lt;p&gt;Onsite role&lt;/p&gt;&lt;p&gt;&lt;br&gt;&lt;/p&gt;&lt;p&gt;&lt;strong&gt;Role Descriptions:&lt;/strong&gt;&lt;/p&gt;&lt;p&gt;AI Engineer (Backend TypeScript or Python….. the team is leaning to Typescript)&lt;/p&gt;&lt;p&gt;&lt;br&gt;&lt;/p&gt;&lt;p&gt;• Strong backend engineering in TypeScript/Node.js (preferred) or Python, with production API design experience.&lt;/p&gt;&lt;p&gt;• Has built LLM harnesses/scaffolds with agentic loops, RAG pipelines, and tool-calling architectures.&lt;/p&gt;&lt;p&gt;• Experience designing multi-agent systems and integrating LLMs with internal/external APIs.&lt;/p&gt;&lt;p&gt;• Added Advantage: AI platform/developer tooling, evaluation &amp;amp; observability frameworks, AI security &amp;amp; guardrails&lt;/p&gt;&lt;p&gt;&lt;br&gt;&lt;/p&gt;&lt;p&gt;&lt;strong&gt;Skills: Digital&lt;/strong&gt; : Python~Digital : Artificial Intelligence(AI)&lt;/p&gt;&lt;p&gt;&lt;br&gt;&lt;/p&gt;&lt;p&gt;&lt;strong&gt;Experience Required&lt;/strong&gt;: 8-10&lt;/p&gt;</x:v>
      </x:c>
      <x:c r="AB152" s="68" t="str">
        <x:v>
Job Title : AI Engineer 
Location : Austin, TX
Onsite role
Role Descriptions: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 Added Advantage: AI platform/developer tooling, evaluation &amp;amp; observability frameworks, AI security &amp;amp; guardrails
Skills: Digital : Python~Digital : Artificial Intelligence(AI)
Experience Required: 8-10</x:v>
      </x:c>
      <x:c r="AC152" s="68" t="str">
        <x:v>Mid-Senior level</x:v>
      </x:c>
      <x:c r="AD152" s="68" t="str">
        <x:v>Contract</x:v>
      </x:c>
      <x:c r="AE152" s="68" t="str">
        <x:v>Engineering, Information Technology, and Analyst</x:v>
      </x:c>
      <x:c r="AF152" s="68" t="str">
        <x:v>IT Services and IT Consulting</x:v>
      </x:c>
      <x:c r="AG152" s="68" t="str">
        <x:v>https://www.linkedin.com/jobs/search/?position=1&amp;pageNum=0&amp;keywords=AI+Engineer&amp;location=United+States&amp;distance=0&amp;f_TPR=r604800</x:v>
      </x:c>
      <x:c r="AH152" s="68" t="str">
        <x:v>{'type': 'PostalAddress', 'streetAddress': '16420 N 92nd St, ', 'addressLocality': 'Scottsdale', 'addressRegion': 'Arizona', 'postalCode': '85260', 'addressCountry': 'US'}</x:v>
      </x:c>
      <x:c r="AI152" s="68" t="str">
        <x:v>https://vmcsofttech.com/</x:v>
      </x:c>
      <x:c r="AJ152" s="68" t="str">
        <x:v>VMC Soft Technologies offers IT Services, Product Development Solutions and US IT RPO/ Staffing</x:v>
      </x:c>
      <x:c r="AK152" s="68" t="str">
        <x:v>A fast-growing full-service company, VMC Soft Technologies offers IT Services, Product Development Solutions,Training and US IT Recruitement/ RPO/ IT Staffing, Business Process Outsourcing solutions to mid and large-sized organizations. We create innovative and cost effective solutions by first understanding how you work. We bring in the right people to get the job done. And we customize the delivery method to fit your business.</x:v>
      </x:c>
      <x:c r="AL152" s="68" t="str">
        <x:v>49.0</x:v>
      </x:c>
      <x:c r="AM152" s="68" t="str">
        <x:v>Xianny Blanco</x:v>
      </x:c>
      <x:c r="AN152" s="68" t="str">
        <x:v>Student at Liceo Sinaí</x:v>
      </x:c>
      <x:c r="AO152" s="68" t="str">
        <x:v>https://media.licdn.com/dms/image/v2/D4E03AQHefuS5P1kYsA/profile-displayphoto-scale_400_400/B4EZ8Y_t3jJgAg-/0/1782830785268?e=2147483647&amp;v=beta&amp;t=FM2YWQvSzOGqX9cVKrRBGtfwuABzyi2HZu44TY8Ubts</x:v>
      </x:c>
      <x:c r="AP152" s="68" t="str">
        <x:v>https://cr.linkedin.com/in/xianny-z%C3%BA%C3%B1iga-b82b5b302/en</x:v>
      </x:c>
    </x:row>
    <x:row r="153" s="25" customFormat="1" ht="22" customHeight="1">
      <x:c r="A153" s="68" t="str">
        <x:v>4443534037</x:v>
      </x:c>
      <x:c r="B153" s="68" t="str">
        <x:v>AI/ML Engineer</x:v>
      </x:c>
      <x:c r="C153" s="68" t="str">
        <x:v>NODA AI</x:v>
      </x:c>
      <x:c r="D153" s="68" t="str">
        <x:v>Austin, TX</x:v>
      </x:c>
      <x:c r="E153" s="68" t="str">
        <x:v>Failed</x:v>
      </x:c>
      <x:c r="F153" s="68"/>
      <x:c r="G153" s="69"/>
      <x:c r="H153" s="85" t="str">
        <x:v>2026-08-12</x:v>
      </x:c>
      <x:c r="I153" s="85" t="str">
        <x:v>2026-08-12 13:18:49</x:v>
      </x:c>
      <x:c r="J153" s="68" t="str">
        <x:v>200</x:v>
      </x:c>
      <x:c r="K153" s="70"/>
      <x:c r="L153" s="86"/>
      <x:c r="M153" s="87"/>
      <x:c r="N153" s="71"/>
      <x:c r="O153" s="88"/>
      <x:c r="P153" s="89"/>
      <x:c r="Q153" s="89"/>
      <x:c r="R153" s="89"/>
      <x:c r="S153" s="73"/>
      <x:c r="T153" s="68"/>
      <x:c r="U153" s="68" t="str">
        <x:v>https://www.linkedin.com/jobs/view/ai-ml-engineer-at-noda-ai-4443534037?position=5&amp;pageNum=0&amp;refId=7cQDupwnUIWTR2NYcM6GGg%3D%3D&amp;trackingId=uIe0OS9SuvxR%2BtvILHUinA%3D%3D</x:v>
      </x:c>
      <x:c r="V153" s="68" t="str">
        <x:v>uIe0OS9SuvxR+tvILHUinA==</x:v>
      </x:c>
      <x:c r="W153" s="68" t="str">
        <x:v>7cQDupwnUIWTR2NYcM6GGg==</x:v>
      </x:c>
      <x:c r="X153" s="68" t="str">
        <x:v>https://www.linkedin.com/company/noda-ai?trk=public_jobs_jserp-result_job-search-card-subtitle</x:v>
      </x:c>
      <x:c r="Y153" s="68" t="str">
        <x:v>https://media.licdn.com/dms/image/v2/D560BAQFihpAN9AoRlg/company-logo_100_100/B56Z3aIYjcJ0AQ-/0/1777481124327/noda_ai_logo?e=2147483647&amp;v=beta&amp;t=Sif2_CWWVNR3-YKNy3yOjYgnaD8LsmVDk8Iy1X5zmw8</x:v>
      </x:c>
      <x:c r="Z153" s="68"/>
      <x:c r="AA153" s="68" t="str">
        <x:v>– NODA AI&lt;br&gt;&lt;br&gt;&lt;strong&gt;Location:&lt;/strong&gt; Austin, TX (Hybrid on-site, with up to 20% travel)&lt;br&gt;&lt;br&gt;&lt;strong&gt;Clearance Requirement:&lt;/strong&gt; U.S. Citizen with the ability to obtain a security clearance&lt;br&gt;&lt;br&gt;&lt;strong&gt;About NODA&lt;br&gt;&lt;br&gt;&lt;/strong&gt;NODA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sectors.&lt;br&gt;&lt;br&gt;Our AI/ML Engineers are at the cutting edge of autonomous intelligence, designing and implementing AI agents that seamlessly bridge mission intent with real-world execution through advanced reasoning frameworks and multi-domain orchestration capabilities.&lt;br&gt;&lt;br&gt;Joining NODA means working on meaningful technology that pushes the boundaries of autonomy alongside a team that thrives on innovation, rapid iteration, and collaboration.&lt;br&gt;&lt;br&gt;&lt;strong&gt;The Role&lt;br&gt;&lt;br&gt;&lt;/strong&gt;We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vehicles.&lt;br&gt;&lt;br&gt;You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hardware.&lt;br&gt;&lt;br&gt;&lt;strong&gt;Key Responsibilities&lt;br&gt;&lt;br&gt;&lt;/strong&gt;&lt;ul&gt;&lt;li&gt;Design and implement LLM orchestration frameworks for mission planning and task decomposition across heterogeneous vehicle fleets&lt;/li&gt;&lt;li&gt;Develop agent reasoning systems that bridge high-level mission objectives with executable autonomy commands&lt;/li&gt;&lt;li&gt;Optimize large and quantize language models and agent frameworks for deployment on edge computing hardware (Jetson, companion computers)&lt;/li&gt;&lt;li&gt;Manage the full lifecycle of AI agents including model versioning, prompt engineering, tool integration, and memory management&lt;/li&gt;&lt;li&gt;Implement human-in-the-loop workflows that provide transparent, explainable AI reasoning to operators&lt;/li&gt;&lt;li&gt;Integrate AI reasoning outputs with autonomy middleware (e.g., ROS 2) to enable seamless mission execution across heterogeneous&lt;/li&gt;&lt;li&gt;Build evaluation, monitoring, and logging systems to track agent performance, reliability, and cost in operational environments&lt;/li&gt;&lt;li&gt;Develop safe deployment and rollback practices for AI agents in mission-critical scenarios&lt;/li&gt;&lt;li&gt;Collaborate with autonomy engineers to ensure AI-generated plans are executable and safe across multi-domain platforms&lt;/li&gt;&lt;li&gt;Validate agent behaviors through simulation-in-loop testing before field deployment&lt;/li&gt;&lt;li&gt;Design AI systems that maintain effectiveness in denied, degraded, and contested communication environments&lt;br&gt;&lt;br&gt;&lt;/li&gt;&lt;/ul&gt;&lt;strong&gt;Required Qualifications&lt;br&gt;&lt;br&gt;&lt;/strong&gt;&lt;ul&gt;&lt;li&gt;3+ years of experience in production AI/ML applications with emphasis on LLM deployment and orchestration&lt;/li&gt;&lt;li&gt;Proficiency in Python and modern AI/ML frameworks (PyTorch, Transformers, LangChain, or equivalent orchestration tools)&lt;/li&gt;&lt;li&gt;Experience with model optimization, quantization, and deployment to edge computing environments&lt;/li&gt;&lt;li&gt;Understanding of distributed systems and real-time AI inference requirements&lt;/li&gt;&lt;li&gt;Familiarity with MLOps practices, including model versioning, monitoring, and lifecycle management&lt;/li&gt;&lt;li&gt;Knowledge of prompt engineering, agent framework design, and multi-step reasoning systems&lt;/li&gt;&lt;li&gt;Experience with constraint solving, planning algorithms, or symbolic reasoning approaches&lt;/li&gt;&lt;li&gt;U.S. Citizenship with the ability to obtain a security clearance&lt;br&gt;&lt;br&gt;&lt;/li&gt;&lt;/ul&gt;&lt;strong&gt;Preferred Qualifications&lt;br&gt;&lt;br&gt;&lt;/strong&gt;&lt;ul&gt;&lt;li&gt;Experience with multi-agent coordination frameworks and distributed AI reasoning systems&lt;/li&gt;&lt;li&gt;Background in robotics or autonomous systems integration (ROS2ROS 2, navigation stacks, sensor fusion)&lt;/li&gt;&lt;li&gt;Familiarity with reinforcement learning for planning and decision-making applications. Understanding; understanding of secure coding practices and adversarial robustness in AI-driven systems. &lt;/li&gt;&lt;li&gt;Experience deploying AI models to embedded hardware (Jetson, Raspberry Pi, or similar edge devices)&lt;/li&gt;&lt;li&gt;Exposure to simulation-in-loop and hardware-in-loop testing environments&lt;/li&gt;&lt;li&gt;Knowledge of autonomous vehicle domains (UAVs, USVs, UUVs) and associated protocols&lt;/li&gt;&lt;li&gt;Background in structured data preparation and feature engineering for AI ingestion&lt;/li&gt;&lt;li&gt;Contributions to open-source AI or robotics projects&lt;/li&gt;&lt;li&gt;Experience contributing to mission assurance and safety cases, including field-readiness reviews&lt;/li&gt;&lt;li&gt;Experience collaborating with security and compliance teams on logging, auditability, and data-handling requirements for fielded AI systems&lt;br&gt;&lt;br&gt;&lt;/li&gt;&lt;/ul&gt;&lt;strong&gt;Skills and Attributes&lt;br&gt;&lt;br&gt;&lt;/strong&gt;&lt;ul&gt;&lt;li&gt;Systems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 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optimization&lt;br&gt;&lt;br&gt;&lt;/li&gt;&lt;/ul&gt;&lt;strong&gt;&lt;strong&gt;Benefits &amp;amp; Perks&lt;br&gt;&lt;br&gt;&lt;/strong&gt;&lt;/strong&gt;Our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appreciation:&lt;br&gt;&lt;br&gt;&lt;ul&gt;&lt;li&gt;We offer comprehensive medical, dental, and visions plans&lt;/li&gt;&lt;li&gt;401(k) Retirement Savings Plan to invest in your long-term retirement goals + Company match&lt;/li&gt;&lt;li&gt;Equity grants for new hires&lt;/li&gt;&lt;li&gt;Unlimited PTO&lt;/li&gt;&lt;li&gt;11 Paid holidays&lt;/li&gt;&lt;li&gt;Extremely generous company holiday calendar, including a holiday hiatus in November, &amp;amp; December. &lt;/li&gt;&lt;li&gt;Generous Parental Leave&lt;/li&gt;&lt;li&gt;Military Leave for annual training or service requirements&lt;/li&gt;&lt;li&gt;FSA&lt;/li&gt;&lt;li&gt;DCFSA&lt;/li&gt;&lt;li&gt;HSA&lt;/li&gt;&lt;li&gt;Professional Development Opportunities&lt;/li&gt;&lt;li&gt;Access to One Medical&lt;/li&gt;&lt;li&gt;Mental Health Resources: We provide free mental health resources 24/7 including therapy and more. Additional work-life services, such as free legal and financial support, are available to you as well. &lt;br&gt;&lt;br&gt;&lt;/li&gt;&lt;/ul&gt;&lt;strong&gt;&lt;strong&gt;Growth Path at NODA&lt;br&gt;&lt;br&gt;&lt;/strong&gt;&lt;/strong&gt;AI/ML Engineer → Senior AI/ML Engineer → Staff AI/ML Engineer → Principal Engineer. Final leveling will be determined at the offer stage based on scope demonstrated in interviews, prior impact, and calibration to NODA’s career ladder.&lt;br&gt;&lt;br&gt;&lt;strong&gt;Export Control Compliance&lt;br&gt;&lt;br&gt;&lt;/strong&gt;&lt;em&gt;To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Commerce.&lt;br&gt;&lt;br&gt;&lt;/em&gt;&lt;strong&gt;Equal Opportunity Statement&lt;br&gt;&lt;br&gt;&lt;/strong&gt;&lt;em&gt;NODA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law.&lt;br&gt;&lt;br&gt;&lt;/em&gt;&lt;em&gt;As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process.&lt;br&gt;&lt;br&gt;&lt;/em&gt;&lt;em&gt;Consistent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apply.&lt;br&gt;&lt;br&gt;&lt;/em&gt;&lt;em&gt;NODA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need.&lt;br&gt;&lt;br&gt;&lt;/em&gt;</x:v>
      </x:c>
      <x:c r="AB153" s="68" t="str">
        <x:v>–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 Design and implement LLM orchestration frameworks for mission planning and task decomposition across heterogeneous vehicle fleets
- Develop agent reasoning systems that bridge high-level mission objectives with executable autonomy commands
- Optimize large and quantize language models and agent frameworks for deployment on edge computing hardware (Jetson, companion computers)
- Manage the full lifecycle of AI agents including model versioning, prompt engineering, tool integration, and memory management
- Implement human-in-the-loop workflows that provide transparent, explainable AI reasoning to operators
- Integrate AI reasoning outputs with autonomy middleware (e.g., ROS 2) to enable seamless mission execution across heterogeneous
- Build evaluation, monitoring, and logging systems to track agent performance, reliability, and cost in operational environments
- Develop safe deployment and rollback practices for AI agents in mission-critical scenarios
- Collaborate with autonomy engineers to ensure AI-generated plans are executable and safe across multi-domain platforms
- Validate agent behaviors through simulation-in-loop testing before field deployment
- Design AI systems that maintain effectiveness in denied, degraded, and contested communication environments
Required Qualifications
- 3+ years of experience in production AI/ML applications with emphasis on LLM deployment and orchestration
- Proficiency in Python and modern AI/ML frameworks (PyTorch, Transformers, LangChain, or equivalent orchestration tools)
- Experience with model optimization, quantization, and deployment to edge computing environments
- Understanding of distributed systems and real-time AI inference requirements
- Familiarity with MLOps practices, including model versioning, monitoring, and lifecycle management
- Knowledge of prompt engineering, agent framework design, and multi-step reasoning systems
- Experience with constraint solving, planning algorithms, or symbolic reasoning approaches
- U.S. Citizenship with the ability to obtain a security clearance
Preferred Qualifications
- Experience with multi-agent coordination frameworks and distributed AI reasoning systems
- Background in robotics or autonomous systems integration (ROS2ROS 2, navigation stacks, sensor fusion)
- Familiarity with reinforcement learning for planning and decision-making applications. Understanding; understanding of secure coding practices and adversarial robustness in AI-driven systems. 
- Experience deploying AI models to embedded hardware (Jetson, Raspberry Pi, or similar edge devices)
- Exposure to simulation-in-loop and hardware-in-loop testing environments
- Knowledge of autonomous vehicle domains (UAVs, USVs, UUVs) and associated protocols
- Background in structured data preparation and feature engineering for AI ingestion
- Contributions to open-source AI or robotics projects
- Experience contributing to mission assurance and safety cases, including field-readiness reviews
- Experience collaborating with security and compliance teams on logging, auditability, and data-handling requirements for fielded AI systems
Skills and Attributes
-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Benefits &amp;amp;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Company match
- Equity grants for new hires
- Unlimited PTO
- 11 Paid holidays
- Extremely generous company holiday calendar, including a holiday hiatus in November, &amp;amp; December. 
- Generous Parental Leave
- Military Leave for annual training or service requirements
- FSA
- DCFSA
- HSA
- Professional Development Opportunities
- Access to One Medical
- Mental Health Resources: We provide free mental health resources 24/7 including therapy and more. Additional work-life services, such as free legal and financial support, are available to you as well. 
Growth Path at NODA
AI/ML Engineer → Senior AI/ML Engineer → Staff AI/ML Engineer → Principal Engineer. Final leveling will be determined at the offer stage based on scope demonstrated in interviews, prior impact, and calibration to NODA’s career ladder.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
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
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
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
</x:v>
      </x:c>
      <x:c r="AC153" s="68" t="str">
        <x:v>Not Applicable</x:v>
      </x:c>
      <x:c r="AD153" s="68" t="str">
        <x:v>Full-time</x:v>
      </x:c>
      <x:c r="AE153" s="68" t="str">
        <x:v>Engineering and Information Technology</x:v>
      </x:c>
      <x:c r="AF153" s="68" t="str">
        <x:v>Software Development</x:v>
      </x:c>
      <x:c r="AG153" s="68" t="str">
        <x:v>https://www.linkedin.com/jobs/search/?position=1&amp;pageNum=0&amp;keywords=AI+Engineer&amp;location=United+States&amp;distance=0&amp;f_TPR=r604800</x:v>
      </x:c>
      <x:c r="AH153" s="68" t="str">
        <x:v>{'type': 'PostalAddress', 'addressLocality': 'Austin', 'addressRegion': 'TX', 'addressCountry': 'US'}</x:v>
      </x:c>
      <x:c r="AI153" s="68" t="str">
        <x:v>https://www.nodaIntelligence.ai</x:v>
      </x:c>
      <x:c r="AJ153" s="68" t="str">
        <x:v>Mission Command for Autonomous Forces</x:v>
      </x:c>
      <x:c r="AK153" s="68" t="str">
        <x:v>NODA is the original and proven autonomy orchestrator. This is a fundamentally different class of military capability. A new principle of warfare in the autonomous age.
We sit above the autonomy stack to employ gov-designed, threat-specific tactics in the right combinations at the right time to ensure the most capable multi-domain platforms don't react to the enemy's decision cycle. They terminate it.
No hardware added to platforms. No software installed. No vendor between the warfighter and the best platforms for the mission.
While national security is our North Star, we embrace diverse skillsets and are looking for exceptional teammates from all backgrounds. If you share our passion for solving seemingly impossible problems against all odds, check out our careers page at https://www.NodaIntelligence.ai/careers or email us at ContactUs@nodaIntelligence.ai</x:v>
      </x:c>
      <x:c r="AL153" s="68" t="str">
        <x:v>58.0</x:v>
      </x:c>
      <x:c r="AM153" s="68"/>
      <x:c r="AN153" s="68"/>
      <x:c r="AO153" s="68"/>
      <x:c r="AP153" s="68"/>
    </x:row>
    <x:row r="154" s="25" customFormat="1" ht="22" customHeight="1">
      <x:c r="A154" s="68" t="str">
        <x:v>4449259171</x:v>
      </x:c>
      <x:c r="B154" s="68" t="str">
        <x:v>AI Innovation Engineer</x:v>
      </x:c>
      <x:c r="C154" s="68" t="str">
        <x:v>Power Design Resources</x:v>
      </x:c>
      <x:c r="D154" s="68" t="str">
        <x:v>St. Petersburg, FL</x:v>
      </x:c>
      <x:c r="E154" s="68" t="str">
        <x:v>Failed</x:v>
      </x:c>
      <x:c r="F154" s="68"/>
      <x:c r="G154" s="69"/>
      <x:c r="H154" s="85" t="str">
        <x:v>2026-08-08</x:v>
      </x:c>
      <x:c r="I154" s="85" t="str">
        <x:v>2026-08-12 13:18:49</x:v>
      </x:c>
      <x:c r="J154" s="68" t="str">
        <x:v>32</x:v>
      </x:c>
      <x:c r="K154" s="70"/>
      <x:c r="L154" s="86"/>
      <x:c r="M154" s="87"/>
      <x:c r="N154" s="71"/>
      <x:c r="O154" s="88"/>
      <x:c r="P154" s="89"/>
      <x:c r="Q154" s="89"/>
      <x:c r="R154" s="89"/>
      <x:c r="S154" s="73"/>
      <x:c r="T154" s="68"/>
      <x:c r="U154" s="68" t="str">
        <x:v>https://www.linkedin.com/jobs/view/ai-innovation-engineer-at-power-design-resources-4449259171?position=4&amp;pageNum=0&amp;refId=7cQDupwnUIWTR2NYcM6GGg%3D%3D&amp;trackingId=8QHQC%2B8%2BLPwgJoyG%2F%2Bolyw%3D%3D</x:v>
      </x:c>
      <x:c r="V154" s="68" t="str">
        <x:v>8QHQC+8+LPwgJoyG/+olyw==</x:v>
      </x:c>
      <x:c r="W154" s="68" t="str">
        <x:v>7cQDupwnUIWTR2NYcM6GGg==</x:v>
      </x:c>
      <x:c r="X154" s="68" t="str">
        <x:v>https://www.linkedin.com/company/power-design-resources?trk=public_jobs_jserp-result_job-search-card-subtitle</x:v>
      </x:c>
      <x:c r="Y154" s="68" t="str">
        <x:v>https://media.licdn.com/dms/image/v2/C510BAQF_1bLU0PWn5Q/company-logo_100_100/company-logo_100_100/0/1631312611623?e=2147483647&amp;v=beta&amp;t=kEX8kzgBCyob8UWcJw25bUDGn80kS1U41Bzb1GqX1M0</x:v>
      </x:c>
      <x:c r="Z154" s="68"/>
      <x:c r="AA154" s="68" t="str">
        <x:v>&lt;ul&gt;&lt;li&gt;About&lt;/li&gt;&lt;ul&gt;&lt;li&gt;Our Workplace Culture&lt;/li&gt;&lt;li&gt;Mission &amp;amp; Values&lt;/li&gt;&lt;li&gt;Quality &amp;amp; Safety&lt;/li&gt;&lt;li&gt;Leadership&lt;/li&gt;&lt;li&gt;Awards&lt;/li&gt;&lt;/ul&gt;&lt;li&gt;Services&lt;/li&gt;&lt;ul&gt;&lt;li&gt;Overview&lt;/li&gt;&lt;li&gt;Design &amp;amp; Engineering&lt;/li&gt;&lt;ul&gt;&lt;li&gt;MEP Design&lt;/li&gt;&lt;li&gt;Lighting Design&lt;/li&gt;&lt;li&gt;Technology Solutions Design&lt;/li&gt;&lt;/ul&gt;&lt;li&gt;Multi-trade Construction&lt;/li&gt;&lt;ul&gt;&lt;li&gt;Overview&lt;/li&gt;&lt;li&gt;Electrical&lt;/li&gt;&lt;li&gt;Mechanical&lt;/li&gt;&lt;li&gt;Plumbing&lt;/li&gt;&lt;li&gt;Systems Technologies&lt;/li&gt;&lt;li&gt;Energy&lt;/li&gt;&lt;/ul&gt;&lt;li&gt;Lighting &amp;amp; Fixtures&lt;/li&gt;&lt;li&gt;Specialty Manufacturing &amp;amp; Prefabrication&lt;/li&gt;&lt;li&gt;Special Operations&lt;/li&gt;&lt;/ul&gt;&lt;li&gt;Projects&lt;/li&gt;&lt;ul&gt;&lt;li&gt;Project Listing&lt;/li&gt;&lt;li&gt;Project Videos&lt;/li&gt;&lt;/ul&gt;&lt;li&gt;Careers&lt;/li&gt;&lt;ul&gt;&lt;li&gt;Overview&lt;/li&gt;&lt;li&gt;Join Our Team&lt;/li&gt;&lt;li&gt;Careers by Interest:&lt;/li&gt;&lt;ul&gt;&lt;li&gt;On the Jobsite&lt;/li&gt;&lt;li&gt;Project Management&lt;/li&gt;&lt;li&gt;Design &amp;amp; Engineering&lt;/li&gt;&lt;li&gt;Estimating&lt;/li&gt;&lt;li&gt;Corporate Teams&lt;/li&gt;&lt;/ul&gt;&lt;li&gt;Life at Power Design:&lt;/li&gt;&lt;ul&gt;&lt;li&gt;Apprenticeship Programs&lt;/li&gt;&lt;li&gt;Leading the Next Gen&lt;/li&gt;&lt;li&gt;Growing Your Career&lt;/li&gt;&lt;li&gt;Our Workplace Culture&lt;/li&gt;&lt;li&gt;Making an Impact&lt;/li&gt;&lt;/ul&gt;&lt;/ul&gt;&lt;li&gt;News &amp;amp; Blog&lt;br&gt;&lt;/li&gt;&lt;/ul&gt;Technology&lt;br&gt;&lt;br&gt;AI Innovation Engineer&lt;br&gt;&lt;br&gt;FL St Petersburg&lt;br&gt;&lt;br&gt;Regular&lt;br&gt;&lt;br&gt;Apply Now&lt;br&gt;&lt;br&gt;&lt;strong&gt;Share:&lt;br&gt;&lt;br&gt;&lt;/strong&gt;Email*&lt;br&gt;&lt;br&gt;First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x:v>
      </x:c>
      <x:c r="AB154" s="68" t="str">
        <x:v>
- About
- Our Workplace Culture
- Mission &amp;amp; Values
- Quality &amp;amp; Safety
- Leadership
- Awards
- Services
- Overview
- Design &amp;amp; Engineering
- MEP Design
- Lighting Design
- Technology Solutions Design
- Multi-trade Construction
- Overview
- Electrical
- Mechanical
- Plumbing
- Systems Technologies
- Energy
- Lighting &amp;amp; Fixtures
- Specialty Manufacturing &amp;amp; Prefabrication
- Special Operations
- Projects
- Project Listing
- Project Videos
- Careers
- Overview
- Join Our Team
- Careers by Interest:
- On the Jobsite
- Project Management
- Design &amp;amp; Engineering
- Estimating
- Corporate Teams
- Life at Power Design:
- Apprenticeship Programs
- Leading the Next Gen
- Growing Your Career
- Our Workplace Culture
- Making an Impact
- News &amp;amp; Blog
Technology
AI Innovation Engineer
FL St Petersburg
Regular
Apply Now
Share:
Email*
First name*
Last name*
Job Family
Candidate Stage
Candidate Job Family
Applicant Page Path
Interviewee Job Family Group
Job title
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
Share:
Email*
First name*
Last name*
Job Family
Candidate Stage
Candidate Job Family
Applicant Page Path
Interviewee Job Family Group
Job title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x:v>
      </x:c>
      <x:c r="AC154" s="68" t="str">
        <x:v>Not Applicable</x:v>
      </x:c>
      <x:c r="AD154" s="68" t="str">
        <x:v>Full-time</x:v>
      </x:c>
      <x:c r="AE154" s="68" t="str">
        <x:v>Engineering and Information Technology</x:v>
      </x:c>
      <x:c r="AF154" s="68" t="str">
        <x:v>Information Technology &amp; Services</x:v>
      </x:c>
      <x:c r="AG154" s="68" t="str">
        <x:v>https://www.linkedin.com/jobs/search/?position=1&amp;pageNum=0&amp;keywords=AI+Engineer&amp;location=United+States&amp;distance=0&amp;f_TPR=r604800</x:v>
      </x:c>
      <x:c r="AH154" s="68" t="str">
        <x:v>{'type': 'PostalAddress', 'streetAddress': '11600 9Th St N', 'addressLocality': 'St Petersburg', 'addressRegion': 'FL', 'postalCode': '33716', 'addressCountry': 'US'}</x:v>
      </x:c>
      <x:c r="AI154" s="68" t="str">
        <x:v>http://www.powerdesigninc.us/</x:v>
      </x:c>
      <x:c r="AJ154" s="68"/>
      <x:c r="AK154" s="68" t="str">
        <x:v>Since founded in 1989, Power Design has operated as a familyrun business built on an unbending foundation of quality service and loyalty to our employees and customers. Power Design’s commitment to customer service has enabled them to partner with the top 100 general contractors as ranked by Engineering NewsRecord (ENR).</x:v>
      </x:c>
      <x:c r="AL154" s="68" t="str">
        <x:v>10.0</x:v>
      </x:c>
      <x:c r="AM154" s="68"/>
      <x:c r="AN154" s="68"/>
      <x:c r="AO154" s="68"/>
      <x:c r="AP154" s="68"/>
    </x:row>
    <x:row r="155" s="25" customFormat="1" ht="22" customHeight="1">
      <x:c r="A155" s="68" t="str">
        <x:v>4443031573</x:v>
      </x:c>
      <x:c r="B155" s="68" t="str">
        <x:v>Machine Learning Engineer, Alexa AI</x:v>
      </x:c>
      <x:c r="C155" s="68" t="str">
        <x:v>Amazon</x:v>
      </x:c>
      <x:c r="D155" s="68" t="str">
        <x:v>Boston, MA</x:v>
      </x:c>
      <x:c r="E155" s="68" t="str">
        <x:v>Failed</x:v>
      </x:c>
      <x:c r="F155" s="68"/>
      <x:c r="G155" s="69"/>
      <x:c r="H155" s="85" t="str">
        <x:v>2026-08-11</x:v>
      </x:c>
      <x:c r="I155" s="85" t="str">
        <x:v>2026-08-12 13:18:49</x:v>
      </x:c>
      <x:c r="J155" s="68" t="str">
        <x:v>200</x:v>
      </x:c>
      <x:c r="K155" s="70"/>
      <x:c r="L155" s="86"/>
      <x:c r="M155" s="87"/>
      <x:c r="N155" s="71"/>
      <x:c r="O155" s="88"/>
      <x:c r="P155" s="89"/>
      <x:c r="Q155" s="89"/>
      <x:c r="R155" s="89"/>
      <x:c r="S155" s="73"/>
      <x:c r="T155" s="68"/>
      <x:c r="U155" s="68" t="str">
        <x:v>https://www.linkedin.com/jobs/view/machine-learning-engineer-alexa-ai-at-amazon-4443031573?position=6&amp;pageNum=6&amp;refId=kqPf9FPV08TvEoOB6aa3bA%3D%3D&amp;trackingId=BXSpMKnzXIkN7CBLwy1n5A%3D%3D</x:v>
      </x:c>
      <x:c r="V155" s="68" t="str">
        <x:v>BXSpMKnzXIkN7CBLwy1n5A==</x:v>
      </x:c>
      <x:c r="W155" s="68" t="str">
        <x:v>kqPf9FPV08TvEoOB6aa3bA==</x:v>
      </x:c>
      <x:c r="X155" s="68" t="str">
        <x:v>https://www.linkedin.com/company/amazon?trk=public_jobs_jserp-result_job-search-card-subtitle</x:v>
      </x:c>
      <x:c r="Y155" s="68" t="str">
        <x:v>https://media.licdn.com/dms/image/v2/D560BAQGDLy4STCnHbg/company-logo_100_100/B56ZnZxDipI0AQ-/0/1760295142304/amazon_logo?e=2147483647&amp;v=beta&amp;t=qIUP7OofXIuuuVACb5ToeWH9PHXrPYsS8jsTZ3Q0sUg</x:v>
      </x:c>
      <x:c r="Z155" s="68"/>
      <x:c r="AA155" s="68" t="str">
        <x:v>&lt;strong&gt;Description&lt;br&gt;&lt;br&gt;&lt;/strong&gt;The Alexa AI team is looking for a passionate, talented, and inventive Machine Learning Engineer with a strong machine learning background, to build capabilities such as fine tuning, distillation, and LLM Inference.&lt;br&gt;&lt;br&gt;As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solutions.&lt;br&gt;&lt;br&gt;Key job responsibilities&lt;br&gt;&lt;br&gt;The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environment.&lt;br&gt;&lt;br&gt;Responsibilities-&lt;br&gt;&lt;br&gt;&lt;ul&gt;&lt;li&gt; Will work with other team engineers to investigate design approaches, prototype new technology and evaluate technical feasibility.&lt;/li&gt;&lt;li&gt; Work closely with Applied scientists to process data, scale machine learning models&lt;/li&gt;&lt;li&gt; Will work in an Agile/Scrum environment to deliver high quality software.&lt;br&gt;&lt;br&gt;&lt;/li&gt;&lt;/ul&gt;&lt;strong&gt;About The Team&lt;br&gt;&lt;br&gt;&lt;/strong&gt;Central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working with PyTorch or JAX software&lt;/li&gt;&lt;li&gt; Bachelor's degree or foreign equivalent in Computer Science, Engineering, Mathematics, or a related field&lt;br&gt;&lt;br&gt;&lt;/li&gt;&lt;/ul&gt;&lt;strong&gt;Preferred Qualifications&lt;br&gt;&lt;br&gt;&lt;/strong&gt;&lt;ul&gt;&lt;li&gt; Experience working with PyTorch or JAX software, or experience with vLLM, SGLang, TensorRT or similar platforms in production environments&lt;/li&gt;&lt;li&gt; Experience developing large model hosting platforms, establishing frameworks, and scaling and optimizing inference system.&lt;/li&gt;&lt;li&gt; Experience developing and maintaining MLOps tool in large organizations.&lt;br&gt;&lt;br&gt;&lt;/li&gt;&lt;/ul&gt;Amazon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https://amazon.jobs/en/benefits.&lt;br&gt;&lt;br&gt;USA, MA, Boston - 143,700.00 - 194,400.00 USD annually&lt;br&gt;&lt;br&gt;&lt;br&gt;&lt;strong&gt;Company&lt;/strong&gt; - Amazon.com Services LLC&lt;br&gt;&lt;br&gt;Job ID: A10381642</x:v>
      </x:c>
      <x:c r="AB155" s="68" t="str">
        <x:v>Description
The Alexa AI team is looking for a passionate, talented, and inventive Machine Learning Engineer with a strong machine learning background, to build capabilities such as fine tuning, distillation, and LLM Inference.
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  Will work in an Agile/Scrum environment to deliver high quality software.
About The Team
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
Basic Qualifications
-  3+ years of non-internship professional software development experience
-  2+ years of non-internship design or architecture (design patterns, reliability and scaling) of new and existing systems experience
-  Experience working with PyTorch or JAX software
-  Bachelor's degree or foreign equivalent in Computer Science, Engineering, Mathematics, or a related field
Preferred Qualifications
-  Experience working with PyTorch or JAX software, or experience with vLLM, SGLang, TensorRT or similar platforms in production environments
-  Experience developing large model hosting platforms, establishing frameworks, and scaling and optimizing inference system.
-  Experience developing and maintaining MLOps tool in large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- 143,700.00 - 194,400.00 USD annually
Company - Amazon.com Services LLC
Job ID: A10381642</x:v>
      </x:c>
      <x:c r="AC155" s="68" t="str">
        <x:v>Not Applicable</x:v>
      </x:c>
      <x:c r="AD155" s="68" t="str">
        <x:v>Full-time</x:v>
      </x:c>
      <x:c r="AE155" s="68" t="str">
        <x:v>Information Technology, Consulting, and Engineering</x:v>
      </x:c>
      <x:c r="AF155" s="68" t="str">
        <x:v>Software Development</x:v>
      </x:c>
      <x:c r="AG155" s="68" t="str">
        <x:v>https://www.linkedin.com/jobs/search/?position=1&amp;pageNum=0&amp;keywords=AI+Engineer&amp;location=United+States&amp;distance=0&amp;f_TPR=r604800</x:v>
      </x:c>
      <x:c r="AH155" s="68"/>
      <x:c r="AI155" s="68"/>
      <x:c r="AJ155" s="68"/>
      <x:c r="AK155" s="68"/>
      <x:c r="AL155" s="68" t="str">
        <x:v>762191.0</x:v>
      </x:c>
      <x:c r="AM155" s="68"/>
      <x:c r="AN155" s="68"/>
      <x:c r="AO155" s="68"/>
      <x:c r="AP155" s="68"/>
    </x:row>
    <x:row r="156" s="25" customFormat="1" ht="22" customHeight="1">
      <x:c r="A156" s="68" t="str">
        <x:v>4453011580</x:v>
      </x:c>
      <x:c r="B156" s="68" t="str">
        <x:v>AI Modeling Engineer</x:v>
      </x:c>
      <x:c r="C156" s="68" t="str">
        <x:v>Palona AI</x:v>
      </x:c>
      <x:c r="D156" s="68" t="str">
        <x:v>New York, NY</x:v>
      </x:c>
      <x:c r="E156" s="68" t="str">
        <x:v>Failed</x:v>
      </x:c>
      <x:c r="F156" s="68"/>
      <x:c r="G156" s="69"/>
      <x:c r="H156" s="85" t="str">
        <x:v>2026-08-11</x:v>
      </x:c>
      <x:c r="I156" s="85" t="str">
        <x:v>2026-08-12 13:18:49</x:v>
      </x:c>
      <x:c r="J156" s="68" t="str">
        <x:v>190</x:v>
      </x:c>
      <x:c r="K156" s="70"/>
      <x:c r="L156" s="86"/>
      <x:c r="M156" s="87"/>
      <x:c r="N156" s="71"/>
      <x:c r="O156" s="88"/>
      <x:c r="P156" s="89"/>
      <x:c r="Q156" s="89"/>
      <x:c r="R156" s="89"/>
      <x:c r="S156" s="73"/>
      <x:c r="T156" s="68"/>
      <x:c r="U156" s="68" t="str">
        <x:v>https://www.linkedin.com/jobs/view/ai-modeling-engineer-at-palona-ai-4453011580?position=10&amp;pageNum=6&amp;refId=kqPf9FPV08TvEoOB6aa3bA%3D%3D&amp;trackingId=7%2Bpf8Wpwpdq%2FErI8e4cqbw%3D%3D</x:v>
      </x:c>
      <x:c r="V156" s="68" t="str">
        <x:v>7+pf8Wpwpdq/ErI8e4cqbw==</x:v>
      </x:c>
      <x:c r="W156" s="68" t="str">
        <x:v>kqPf9FPV08TvEoOB6aa3bA==</x:v>
      </x:c>
      <x:c r="X156" s="68" t="str">
        <x:v>https://www.linkedin.com/company/palona-ai?trk=public_jobs_jserp-result_job-search-card-subtitle</x:v>
      </x:c>
      <x:c r="Y156" s="68" t="str">
        <x:v>https://media.licdn.com/dms/image/v2/D560BAQH9ewbHm_y20Q/company-logo_100_100/B56Zyg4hppHsAU-/0/1772225698662/palona_ai_logo?e=2147483647&amp;v=beta&amp;t=R0LVEypVrnb3-WH_4G_9rwjK1--Sn2ipwwWr-XajnHw</x:v>
      </x:c>
      <x:c r="Z156" s="68"/>
      <x:c r="AA156" s="68" t="str">
        <x:v>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loops.&lt;br&gt;&lt;br&gt;We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production.&lt;br&gt;&lt;br&gt;This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deployment.&lt;br&gt;&lt;br&gt;&lt;strong&gt;What You'll Own&lt;br&gt;&lt;br&gt;&lt;/strong&gt;&lt;ul&gt;&lt;li&gt;Develop modeling and experimentation strategies for high-impact agent problems in voice, language, reasoning, ordering, multilingual behavior, and multimodal understanding&lt;/li&gt;&lt;li&gt;Build rigorous offline and online evaluations that measure task completion, accuracy, safety, latency, cost, conversational quality, and business outcomes&lt;/li&gt;&lt;li&gt;Create and maintain representative datasets from simulations, human annotation, production feedback, and difficult edge cases while protecting sensitive data&lt;/li&gt;&lt;li&gt;Evaluate frontier and open-source models and make clear build, buy, route, prompt, fine-tune, or distill decisions&lt;/li&gt;&lt;li&gt;Improve prompting, context construction, memory, tool-use policies, structured outputs, model routing, and fallback behavior&lt;/li&gt;&lt;li&gt;Design fine-tuning, preference optimization, distillation, or other post-training work when it offers a measurable advantage over simpler methods&lt;/li&gt;&lt;li&gt;Partner with speech and real-time engineers to improve ASR, TTS, turn-taking, interruption handling, pronunciation, multilingual behavior, and end-to-end latency&lt;/li&gt;&lt;li&gt;Develop analysis tools that explain model failures, slice performance by scenario, detect regressions, and accelerate iteration&lt;/li&gt;&lt;li&gt;Ship model changes with production guardrails, staged rollouts, monitoring, rollback paths, and clear quality gates&lt;/li&gt;&lt;li&gt;Translate new research and model releases into concrete product opportunities and communicate tradeoffs to technical and non-technical partners&lt;/li&gt;&lt;li&gt;Raise scientific and engineering standards through reproducible experiments, thoughtful reviews, and clear documentation&lt;br&gt;&lt;br&gt;&lt;/li&gt;&lt;/ul&gt;&lt;strong&gt;Requirements&lt;br&gt;&lt;br&gt;&lt;/strong&gt;&lt;ul&gt;&lt;li&gt;3+ years of industrial experience in relevant technical domain&lt;/li&gt;&lt;li&gt;Strong machine learning foundations and hands-on experience developing or evaluating production AI systems&lt;/li&gt;&lt;li&gt;Strong Python skills and experience with modern ML tooling such as PyTorch, JAX, Hugging Face, or equivalent systems&lt;/li&gt;&lt;li&gt;Practical experience with LLMs, speech models, multimodal models, or agentic systems&lt;/li&gt;&lt;li&gt;Ability to design reliable experiments, define useful metrics, analyze noisy results, and avoid optimizing against weak proxies&lt;/li&gt;&lt;li&gt;Experience building datasets, evaluation harnesses, model services, or training and inference pipelines&lt;/li&gt;&lt;li&gt;Strong software engineering judgment; your work is reproducible, tested, observable, and usable by other engineers&lt;/li&gt;&lt;li&gt;Ability to connect modeling choices to product constraints including latency, cost, privacy, safety, and user experience&lt;/li&gt;&lt;li&gt;Comfort operating in ambiguity and collaborating across research, engineering, product, and customer contexts&lt;/li&gt;&lt;li&gt;AI-native working habits and genuine curiosity about new model capabilities and limitations&lt;br&gt;&lt;br&gt;&lt;/li&gt;&lt;/ul&gt;&lt;strong&gt;Benefits&lt;br&gt;&lt;br&gt;&lt;/strong&gt;&lt;ul&gt;&lt;li&gt;Competitive Salary and Stock Option Plan&lt;/li&gt;&lt;li&gt;Medical, dental, vision, retirement, leave, and disability benefits as applicable&lt;/li&gt;&lt;li&gt;Family Leave&lt;/li&gt;&lt;li&gt;Short Term &amp;amp; Long Term Disability&lt;/li&gt;&lt;li&gt;Paid time off and company holidays&lt;/li&gt;&lt;li&gt;Learning and development support&lt;/li&gt;&lt;/ul&gt;</x:v>
      </x:c>
      <x:c r="AB156" s="68" t="str">
        <x:v>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
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
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
What You'll Own
- Develop modeling and experimentation strategies for high-impact agent problems in voice, language, reasoning, ordering, multilingual behavior, and multimodal understanding
- Build rigorous offline and online evaluations that measure task completion, accuracy, safety, latency, cost, conversational quality, and business outcomes
- Create and maintain representative datasets from simulations, human annotation, production feedback, and difficult edge cases while protecting sensitive data
- Evaluate frontier and open-source models and make clear build, buy, route, prompt, fine-tune, or distill decisions
- Improve prompting, context construction, memory, tool-use policies, structured outputs, model routing, and fallback behavior
- Design fine-tuning, preference optimization, distillation, or other post-training work when it offers a measurable advantage over simpler methods
- Partner with speech and real-time engineers to improve ASR, TTS, turn-taking, interruption handling, pronunciation, multilingual behavior, and end-to-end latency
- Develop analysis tools that explain model failures, slice performance by scenario, detect regressions, and accelerate iteration
- Ship model changes with production guardrails, staged rollouts, monitoring, rollback paths, and clear quality gates
- Translate new research and model releases into concrete product opportunities and communicate tradeoffs to technical and non-technical partners
- Raise scientific and engineering standards through reproducible experiments, thoughtful reviews, and clear documentation
Requirements
- 3+ years of industrial experience in relevant technical domain
- Strong machine learning foundations and hands-on experience developing or evaluating production AI systems
- Strong Python skills and experience with modern ML tooling such as PyTorch, JAX, Hugging Face, or equivalent systems
- Practical experience with LLMs, speech models, multimodal models, or agentic systems
- Ability to design reliable experiments, define useful metrics, analyze noisy results, and avoid optimizing against weak proxies
- Experience building datasets, evaluation harnesses, model services, or training and inference pipelines
- Strong software engineering judgment; your work is reproducible, tested, observable, and usable by other engineers
- Ability to connect modeling choices to product constraints including latency, cost, privacy, safety, and user experience
- Comfort operating in ambiguity and collaborating across research, engineering, product, and customer contexts
- AI-native working habits and genuine curiosity about new model capabilities and limitations
Benefits
- Competitive Salary and Stock Option Plan
- Medical, dental, vision, retirement, leave, and disability benefits as applicable
- Family Leave
- Short Term &amp;amp; Long Term Disability
- Paid time off and company holidays
- Learning and development support</x:v>
      </x:c>
      <x:c r="AC156" s="68" t="str">
        <x:v>Mid-Senior level</x:v>
      </x:c>
      <x:c r="AD156" s="68" t="str">
        <x:v>Full-time</x:v>
      </x:c>
      <x:c r="AE156" s="68" t="str">
        <x:v>Engineering</x:v>
      </x:c>
      <x:c r="AF156" s="68" t="str">
        <x:v>IT Services and IT Consulting</x:v>
      </x:c>
      <x:c r="AG156" s="68" t="str">
        <x:v>https://www.linkedin.com/jobs/search/?position=1&amp;pageNum=0&amp;keywords=AI+Engineer&amp;location=United+States&amp;distance=0&amp;f_TPR=r604800</x:v>
      </x:c>
      <x:c r="AH156" s="68" t="str">
        <x:v>{'type': 'PostalAddress', 'addressLocality': 'Menlo Park', 'addressRegion': 'CA', 'postalCode': '94025', 'addressCountry': 'US'}</x:v>
      </x:c>
      <x:c r="AI156" s="68" t="str">
        <x:v>https://palona.ai/pizza-expo</x:v>
      </x:c>
      <x:c r="AJ156" s="68" t="str">
        <x:v>Bring your brand to life. Make your customers fall in love.
</x:v>
      </x:c>
      <x:c r="AK156" s="68" t="str">
        <x:v>We are building a new, completely proprietary AI system with multi-agents, multimodal-to-action models, combined with unrivaled emotional intelligence language models to empower businesses to scale by delivering a high-touch customer experience, automation and efficiency. Our AI Agents will supercharge the core of your business. </x:v>
      </x:c>
      <x:c r="AL156" s="68" t="str">
        <x:v>31.0</x:v>
      </x:c>
      <x:c r="AM156" s="68"/>
      <x:c r="AN156" s="68"/>
      <x:c r="AO156" s="68"/>
      <x:c r="AP156" s="68"/>
    </x:row>
    <x:row r="157" s="25" customFormat="1" ht="22" customHeight="1">
      <x:c r="A157" s="68" t="str">
        <x:v>4452484384</x:v>
      </x:c>
      <x:c r="B157" s="68" t="str">
        <x:v>Artificial Intelligence Engineer</x:v>
      </x:c>
      <x:c r="C157" s="68" t="str">
        <x:v>MeeBoss</x:v>
      </x:c>
      <x:c r="D157" s="68" t="str">
        <x:v>United States</x:v>
      </x:c>
      <x:c r="E157" s="68" t="str">
        <x:v>Failed</x:v>
      </x:c>
      <x:c r="F157" s="68"/>
      <x:c r="G157" s="69"/>
      <x:c r="H157" s="85" t="str">
        <x:v>2026-08-11</x:v>
      </x:c>
      <x:c r="I157" s="85" t="str">
        <x:v>2026-08-12 13:18:49</x:v>
      </x:c>
      <x:c r="J157" s="68" t="str">
        <x:v>136</x:v>
      </x:c>
      <x:c r="K157" s="70"/>
      <x:c r="L157" s="86"/>
      <x:c r="M157" s="87"/>
      <x:c r="N157" s="71"/>
      <x:c r="O157" s="88"/>
      <x:c r="P157" s="89"/>
      <x:c r="Q157" s="89"/>
      <x:c r="R157" s="89"/>
      <x:c r="S157" s="73"/>
      <x:c r="T157" s="68"/>
      <x:c r="U157" s="68" t="str">
        <x:v>https://www.linkedin.com/jobs/view/artificial-intelligence-engineer-at-meeboss-4452484384?position=3&amp;pageNum=6&amp;refId=kqPf9FPV08TvEoOB6aa3bA%3D%3D&amp;trackingId=qEihrPLxONhj1uwLugTdug%3D%3D</x:v>
      </x:c>
      <x:c r="V157" s="68" t="str">
        <x:v>qEihrPLxONhj1uwLugTdug==</x:v>
      </x:c>
      <x:c r="W157" s="68" t="str">
        <x:v>kqPf9FPV08TvEoOB6aa3bA==</x:v>
      </x:c>
      <x:c r="X157" s="68" t="str">
        <x:v>https://www.linkedin.com/company/meeboss?trk=public_jobs_jserp-result_job-search-card-subtitle</x:v>
      </x:c>
      <x:c r="Y157" s="68" t="str">
        <x:v>https://media.licdn.com/dms/image/v2/D560BAQH7KwZNWpOqRg/company-logo_100_100/B56ZcuuX28GsAQ-/0/1748835598284/meeboss_logo?e=2147483647&amp;v=beta&amp;t=kIyFeq5olRjgZVEaLtZYV4GgvbbKxUxoI-Xw6gtzuHY</x:v>
      </x:c>
      <x:c r="Z157" s="68"/>
      <x:c r="AA157" s="68" t="str">
        <x:v>&lt;p&gt;Responsibilities:&lt;/p&gt;&lt;p&gt;&lt;br&gt;&lt;/p&gt;&lt;ul&gt;&lt;li&gt;Design and implement AI models and algorithms to address complex challenges effectively.&lt;/li&gt;&lt;li&gt;Collaborate with cross-functional teams to integrate AI solutions into existing systems seamlessly.&lt;/li&gt;&lt;li&gt;Conduct research to remain informed about the latest AI technologies and methodologies.&lt;/li&gt;&lt;li&gt;Optimize and fine-tune AI models for enhanced performance and scalability in production environments.&lt;/li&gt;&lt;li&gt;Analyze data sets to extract insights and improve AI functionalities continuously.&lt;/li&gt;&lt;li&gt;Design and architect low-latency, high-availability microservices for robust AI applications.&lt;/li&gt;&lt;li&gt;Ensure hands-on involvement in shipping production-grade software in a multi-tenant environment.&lt;/li&gt;&lt;/ul&gt;&lt;p&gt;&lt;br&gt;&lt;/p&gt;&lt;p&gt;Qualifications:&lt;/p&gt;&lt;p&gt;&lt;br&gt;&lt;/p&gt;&lt;ul&gt;&lt;li&gt;Proficiency in programming languages such as Python, Java, or R, with a strong software development background.&lt;/li&gt;&lt;li&gt;Solid understanding of machine learning frameworks and libraries (e.g., TensorFlow, PyTorch).&lt;/li&gt;&lt;li&gt;Experience with data preprocessing and analysis techniques to enhance AI model performance.&lt;/li&gt;&lt;li&gt;Excellent problem-solving skills and ability to work collaboratively within a team environment.&lt;/li&gt;&lt;li&gt;Proven ability to design and implement microservices architecture for scalable applications.&lt;/li&gt;&lt;/ul&gt;&lt;p&gt;&lt;br&gt;&lt;/p&gt;</x:v>
      </x:c>
      <x:c r="AB157" s="68" t="str">
        <x:v>
Responsibilities:
- Design and implement AI models and algorithms to address complex challenges effectively.
- Collaborate with cross-functional teams to integrate AI solutions into existing systems seamlessly.
- Conduct research to remain informed about the latest AI technologies and methodologies.
- Optimize and fine-tune AI models for enhanced performance and scalability in production environments.
- Analyze data sets to extract insights and improve AI functionalities continuously.
- Design and architect low-latency, high-availability microservices for robust AI applications.
- Ensure hands-on involvement in shipping production-grade software in a multi-tenant environment.
Qualifications:
- Proficiency in programming languages such as Python, Java, or R, with a strong software development background.
- Solid understanding of machine learning frameworks and libraries (e.g., TensorFlow, PyTorch).
- Experience with data preprocessing and analysis techniques to enhance AI model performance.
- Excellent problem-solving skills and ability to work collaboratively within a team environment.
- Proven ability to design and implement microservices architecture for scalable applications.
</x:v>
      </x:c>
      <x:c r="AC157" s="68" t="str">
        <x:v>Not Applicable</x:v>
      </x:c>
      <x:c r="AD157" s="68" t="str">
        <x:v>Contract</x:v>
      </x:c>
      <x:c r="AE157" s="68" t="str">
        <x:v>Engineering, Information Technology, and Research</x:v>
      </x:c>
      <x:c r="AF157" s="68" t="str">
        <x:v>IT Services and IT Consulting</x:v>
      </x:c>
      <x:c r="AG157" s="68" t="str">
        <x:v>https://www.linkedin.com/jobs/search/?position=1&amp;pageNum=0&amp;keywords=AI+Engineer&amp;location=United+States&amp;distance=0&amp;f_TPR=r604800</x:v>
      </x:c>
      <x:c r="AH157" s="68" t="str">
        <x:v>{'type': 'PostalAddress', 'streetAddress': '10800 NE 8th St', 'addressLocality': 'Bellevue', 'addressRegion': 'Washington', 'postalCode': '98004', 'addressCountry': 'US'}</x:v>
      </x:c>
      <x:c r="AI157" s="68" t="str">
        <x:v>meeboss.com</x:v>
      </x:c>
      <x:c r="AJ157" s="68" t="str">
        <x:v>We simplify hiring through fast job matching and direct connections, all in one seamless platform.</x:v>
      </x:c>
      <x:c r="AK157" s="68" t="str">
        <x:v>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x:v>
      </x:c>
      <x:c r="AL157" s="68" t="str">
        <x:v>46.0</x:v>
      </x:c>
      <x:c r="AM157" s="68" t="str">
        <x:v>Wenjing Zhou</x:v>
      </x:c>
      <x:c r="AN157" s="68"/>
      <x:c r="AO157" s="68" t="str">
        <x:v>https://static.licdn.com/aero-v1/sc/h/9c8pery4andzj6ohjkjp54ma2</x:v>
      </x:c>
      <x:c r="AP157" s="68" t="str">
        <x:v>https://www.linkedin.com/in/wenjing-zhou-84a117422</x:v>
      </x:c>
    </x:row>
    <x:row r="158" s="25" customFormat="1" ht="22" customHeight="1">
      <x:c r="A158" s="68" t="str">
        <x:v>4422771328</x:v>
      </x:c>
      <x:c r="B158" s="68" t="str">
        <x:v>AI Enablement Engineer</x:v>
      </x:c>
      <x:c r="C158" s="68" t="str">
        <x:v>TENEX.AI</x:v>
      </x:c>
      <x:c r="D158" s="68" t="str">
        <x:v>Sarasota, FL</x:v>
      </x:c>
      <x:c r="E158" s="68" t="str">
        <x:v>Failed</x:v>
      </x:c>
      <x:c r="F158" s="68"/>
      <x:c r="G158" s="69"/>
      <x:c r="H158" s="85" t="str">
        <x:v>2026-08-12</x:v>
      </x:c>
      <x:c r="I158" s="85" t="str">
        <x:v>2026-08-12 13:18:49</x:v>
      </x:c>
      <x:c r="J158" s="68" t="str">
        <x:v>166</x:v>
      </x:c>
      <x:c r="K158" s="70"/>
      <x:c r="L158" s="86"/>
      <x:c r="M158" s="87"/>
      <x:c r="N158" s="71"/>
      <x:c r="O158" s="88"/>
      <x:c r="P158" s="89"/>
      <x:c r="Q158" s="89"/>
      <x:c r="R158" s="89"/>
      <x:c r="S158" s="73"/>
      <x:c r="T158" s="68"/>
      <x:c r="U158" s="68" t="str">
        <x:v>https://www.linkedin.com/jobs/view/ai-enablement-engineer-at-tenex-ai-4422771328?position=1&amp;pageNum=6&amp;refId=kqPf9FPV08TvEoOB6aa3bA%3D%3D&amp;trackingId=5tO65eSo64zj3g%2Bn4lpO7A%3D%3D</x:v>
      </x:c>
      <x:c r="V158" s="68" t="str">
        <x:v>5tO65eSo64zj3g+n4lpO7A==</x:v>
      </x:c>
      <x:c r="W158" s="68" t="str">
        <x:v>kqPf9FPV08TvEoOB6aa3bA==</x:v>
      </x:c>
      <x:c r="X158" s="68" t="str">
        <x:v>https://www.linkedin.com/company/tenex-ai?trk=public_jobs_jserp-result_job-search-card-subtitle</x:v>
      </x:c>
      <x:c r="Y158" s="68" t="str">
        <x:v>https://media.licdn.com/dms/image/v2/D4E0BAQEGXOkFHQn93A/company-logo_100_100/company-logo_100_100/0/1737354629835/tenex_ai_logo?e=2147483647&amp;v=beta&amp;t=XdeK1KrJQaZjQ13Yqo_odhs1CUoKKPNi2wj0mKPCWMo</x:v>
      </x:c>
      <x:c r="Z158" s="68"/>
      <x:c r="AA158" s="68" t="str">
        <x:v>&lt;strong&gt;Company Overview&lt;br&gt;&lt;br&gt;&lt;/strong&gt;TENEX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landscape.&lt;br&gt;&lt;br&gt;We’re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upside.&lt;br&gt;&lt;br&gt;As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build.&lt;br&gt;&lt;br&gt;This role is right for someone who finds satisfaction in building systems that scale beyond themselves, who would rather embed AI fluency across the company than be the only person who can do this work.&lt;br&gt;&lt;br&gt;Culture is one of the most important things at TENEX.AI. Explore our culture deck at culture.tenex.ai to witness how we embody it, prioritizing the irreplaceable collaboration and community of in-person work.&lt;br&gt;&lt;br&gt;&lt;strong&gt;Location:&lt;/strong&gt; This role will require Monday through Thursday onsite in our Kansas City office (preferred), with San Jose or Sarasota, FL also considered. WFH Friday. Candidates must live in or be willing to relocate to one of these three cities.&lt;br&gt;&lt;br&gt;&lt;strong&gt;Job Responsibilities&lt;br&gt;&lt;br&gt;&lt;/strong&gt;&lt;ul&gt;&lt;li&gt;Build and evolve TENEX's internal AI platform: a reusable foundation of tools, custom skills, Claude Projects, integrations, and department-specific specialists that scale AI impact across every team. &lt;/li&gt;&lt;li&gt;Partner with teams across TENEX (Sales, Customer Success, Marketing, Finance, Legal, HR, Detection Engineering, Security Operations, Forward-Deployed Engineering) to surface needs that shape our internal AI platform roadmap. &lt;/li&gt;&lt;li&gt;Own and execute against a published roadmap. Predictable, visible execution is a core expectation of this role. &lt;/li&gt;&lt;li&gt;Maintain, expand, and refine our AI work companion based on user feedback and emerging needs. &lt;/li&gt;&lt;li&gt;Build integrations between Claude and our internal tools (e.g., Ashby, Wonderlic, Fireflies, Asana, Google Chat) using webhooks, MCP connectors, and APIs. Favor reusable patterns over one-off solutions. &lt;/li&gt;&lt;li&gt;Run enablement: training sessions, documentation, AMAs, and 1:1 onboarding to help every TENEX'er become more AI-native. &lt;/li&gt;&lt;li&gt;Contribute to AI governance, monitoring, and security tooling decisions as TENEX scales its AI usage. &lt;br&gt;&lt;br&gt;&lt;/li&gt;&lt;/ul&gt;&lt;strong&gt;Required Skills &amp;amp; Qualifications&lt;br&gt;&lt;br&gt;&lt;/strong&gt;&lt;strong&gt;Anthropic Claude ecosystem expertise&lt;br&gt;&lt;br&gt;&lt;/strong&gt;&lt;ul&gt;&lt;li&gt;Has shipped real work using Anthropic's Claude products, including Claude.ai, Claude Code, Cowork, Projects, custom skills, and MCP connectors. Tutorial-level familiarity is not enough. You should be able to point to things you've built that are actually in use by other people. &lt;/li&gt;&lt;li&gt;Comfortable using Claude Code for technical work, including building scripts, integrations, and tooling. &lt;/li&gt;&lt;li&gt;Strong prompt engineering instincts and an ability to translate vague user needs into clear, scoped AI workflows. &lt;/li&gt;&lt;li&gt;Familiarity with Gemini Enterprise is a plus, as we also use it. &lt;br&gt;&lt;br&gt;&lt;/li&gt;&lt;/ul&gt;&lt;strong&gt;Engineering fundamentals&lt;br&gt;&lt;br&gt;&lt;/strong&gt;&lt;ul&gt;&lt;li&gt;5+ years of experience in software development. Python is preferred. Comfort with REST APIs, webhooks, and JSON-based integrations is required. &lt;/li&gt;&lt;li&gt;Comfortable working across the integration surface: reading API docs, configuring webhooks, debugging auth flows, building lightweight services that connect tools together. &lt;/li&gt;&lt;li&gt;Familiarity with version control (Git/GitHub) and modern engineering practices. &lt;/li&gt;&lt;li&gt;Demonstrated ability to design and build for reuse. You see common patterns across requests and abstract them into platform capabilities rather than building one-off solutions every time. &lt;br&gt;&lt;br&gt;&lt;/li&gt;&lt;/ul&gt;&lt;strong&gt;Security and data handling&lt;br&gt;&lt;br&gt;&lt;/strong&gt;&lt;ul&gt;&lt;li&gt;Strong instincts for protecting sensitive data. You understand that internal AI workflows must be designed with strict guardrails around what data they can access, especially when customer information, employee information, or internal IP could be in scope. You build accordingly. &lt;/li&gt;&lt;li&gt;Demonstrated production experience working with sensitive data (PII, customer data, internal IP, or regulated data). You can speak to specific decisions you've made to protect it. &lt;/li&gt;&lt;li&gt;Familiarity with AI-specific security risks: prompt injection, data leakage to third-party LLMs, unsanctioned tool use, output misuse. You consider these risks proactively, not retroactively. &lt;/li&gt;&lt;li&gt;Working knowledge of secrets management, secure SDLC practices, and the basics of compliance frameworks (e.g., SOC 2). &lt;br&gt;&lt;br&gt;&lt;/li&gt;&lt;/ul&gt;&lt;strong&gt;Communication And Cross-functional Skills&lt;br&gt;&lt;br&gt;&lt;/strong&gt;&lt;ul&gt;&lt;li&gt;Can sit with a CSM, finance lead, recruiter, or executive and translate their workflow into something AI can help with, without condescension, without overengineering, and without losing patience. &lt;/li&gt;&lt;li&gt;Comfortable presenting to groups: running training sessions, demoing new tools at all-hands meetings, hosting AMAs. &lt;/li&gt;&lt;li&gt;Strong written communication. You will write documentation, policy drafts, status updates, and company-facing announcements. &lt;/li&gt;&lt;li&gt;Comfortable saying "no" or "not yet" when an idea isn't ready, scoped, or appropriately resourced. &lt;br&gt;&lt;br&gt;&lt;/li&gt;&lt;/ul&gt;&lt;strong&gt;Nice-to-have&lt;br&gt;&lt;br&gt;&lt;/strong&gt;&lt;ul&gt;&lt;li&gt;Experience building or maintaining an internal AI platform at another company. &lt;/li&gt;&lt;li&gt;Familiarity with Asana, Atlassian (Jira/Confluence), Google Chat, Google Workspace, Salesforce, Ashby, or other common B2B SaaS tools we integrate with. &lt;/li&gt;&lt;li&gt;Background in change management, technical writing, or internal enablement. &lt;/li&gt;&lt;li&gt;Experience with cybersecurity, even at a basic level, since several of our internal workflows involve our security and detection teams. &lt;/li&gt;&lt;li&gt;Hands-on experience with AI governance, AI security tooling, or AI usage monitoring platforms. &lt;br&gt;&lt;br&gt;&lt;/li&gt;&lt;/ul&gt;&lt;strong&gt;Soft Skills&lt;br&gt;&lt;br&gt;&lt;/strong&gt;&lt;ul&gt;&lt;li&gt;Strong consultative instincts. You naturally ask "why" and "what does success look like" before building. &lt;/li&gt;&lt;li&gt;Curious about other people's work. Energized by helping non-technical teammates use AI effectively. &lt;/li&gt;&lt;li&gt;Self-directed. You will not have someone managing your daily work, and you will be expected to triage, prioritize, and execute independently. &lt;/li&gt;&lt;li&gt;Bias toward shipping, paired with predictable execution. We move fast, iterate, and deliver against committed timelines. &lt;/li&gt;&lt;li&gt;Platform mindset. You think about how to make your work multiply through other people rather than scaling only with your own time. &lt;br&gt;&lt;br&gt;&lt;/li&gt;&lt;/ul&gt;&lt;strong&gt;Education &amp;amp; Certifications&lt;br&gt;&lt;br&gt;&lt;/strong&gt;&lt;ul&gt;&lt;li&gt;Bachelor's degree in Computer Science, Engineering, or a related field, or equivalent practical experience. &lt;/li&gt;&lt;li&gt;Anthropic certifications, AI/ML certifications, or security-related credentials are a plus but not required.&lt;/li&gt;&lt;/ul&gt;</x:v>
      </x:c>
      <x:c r="AB158" s="68" t="str">
        <x:v>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
This role is right for someone who finds satisfaction in building systems that scale beyond themselves, who would rather embed AI fluency across the company than be the only person who can do this work.
Culture is one of the most important things at TENEX.AI. Explore our culture deck at culture.tenex.ai to witness how we embody it, prioritizing the irreplaceable collaboration and community of in-person work.
Location: This role will require Monday through Thursday onsite in our Kansas City office (preferred), with San Jose or Sarasota, FL also considered. WFH Friday. Candidates must live in or be willing to relocate to one of these three cities.
Job Responsibilities
- Build and evolve TENEX's internal AI platform: a reusable foundation of tools, custom skills, Claude Projects, integrations, and department-specific specialists that scale AI impact across every team. 
- Partner with teams across TENEX (Sales, Customer Success, Marketing, Finance, Legal, HR, Detection Engineering, Security Operations, Forward-Deployed Engineering) to surface needs that shape our internal AI platform roadmap. 
- Own and execute against a published roadmap. Predictable, visible execution is a core expectation of this role. 
- Maintain, expand, and refine our AI work companion based on user feedback and emerging needs. 
- Build integrations between Claude and our internal tools (e.g., Ashby, Wonderlic, Fireflies, Asana, Google Chat) using webhooks, MCP connectors, and APIs. Favor reusable patterns over one-off solutions. 
- Run enablement: training sessions, documentation, AMAs, and 1:1 onboarding to help every TENEX'er become more AI-native. 
- Contribute to AI governance, monitoring, and security tooling decisions as TENEX scales its AI usage. 
Required Skills &amp;amp; Qualifications
Anthropic Claude ecosystem expertise
- Has shipped real work using Anthropic's Claude products, including Claude.ai, Claude Code, Cowork, Projects, custom skills, and MCP connectors. Tutorial-level familiarity is not enough. You should be able to point to things you've built that are actually in use by other people. 
- Comfortable using Claude Code for technical work, including building scripts, integrations, and tooling. 
- Strong prompt engineering instincts and an ability to translate vague user needs into clear, scoped AI workflows. 
- Familiarity with Gemini Enterprise is a plus, as we also use it. 
Engineering fundamentals
- 5+ years of experience in software development. Python is preferred. Comfort with REST APIs, webhooks, and JSON-based integrations is required. 
- Comfortable working across the integration surface: reading API docs, configuring webhooks, debugging auth flows, building lightweight services that connect tools together. 
- Familiarity with version control (Git/GitHub) and modern engineering practices. 
- Demonstrated ability to design and build for reuse. You see common patterns across requests and abstract them into platform capabilities rather than building one-off solutions every time. 
Security and data handling
- Strong instincts for protecting sensitive data. You understand that internal AI workflows must be designed with strict guardrails around what data they can access, especially when customer information, employee information, or internal IP could be in scope. You build accordingly. 
- Demonstrated production experience working with sensitive data (PII, customer data, internal IP, or regulated data). You can speak to specific decisions you've made to protect it. 
- Familiarity with AI-specific security risks: prompt injection, data leakage to third-party LLMs, unsanctioned tool use, output misuse. You consider these risks proactively, not retroactively. 
- Working knowledge of secrets management, secure SDLC practices, and the basics of compliance frameworks (e.g., SOC 2). 
Communication And Cross-functional Skills
- Can sit with a CSM, finance lead, recruiter, or executive and translate their workflow into something AI can help with, without condescension, without overengineering, and without losing patience. 
- Comfortable presenting to groups: running training sessions, demoing new tools at all-hands meetings, hosting AMAs. 
- Strong written communication. You will write documentation, policy drafts, status updates, and company-facing announcements. 
- Comfortable saying "no" or "not yet" when an idea isn't ready, scoped, or appropriately resourced. 
Nice-to-have
- Experience building or maintaining an internal AI platform at another company. 
- Familiarity with Asana, Atlassian (Jira/Confluence), Google Chat, Google Workspace, Salesforce, Ashby, or other common B2B SaaS tools we integrate with. 
- Background in change management, technical writing, or internal enablement. 
- Experience with cybersecurity, even at a basic level, since several of our internal workflows involve our security and detection teams. 
- Hands-on experience with AI governance, AI security tooling, or AI usage monitoring platforms. 
Soft Skills
- Strong consultative instincts. You naturally ask "why" and "what does success look like" before building. 
- Curious about other people's work. Energized by helping non-technical teammates use AI effectively. 
- Self-directed. You will not have someone managing your daily work, and you will be expected to triage, prioritize, and execute independently. 
- Bias toward shipping, paired with predictable execution. We move fast, iterate, and deliver against committed timelines. 
- Platform mindset. You think about how to make your work multiply through other people rather than scaling only with your own time. 
Education &amp;amp; Certifications
- Bachelor's degree in Computer Science, Engineering, or a related field, or equivalent practical experience. 
- Anthropic certifications, AI/ML certifications, or security-related credentials are a plus but not required.</x:v>
      </x:c>
      <x:c r="AC158" s="68" t="str">
        <x:v>Not Applicable</x:v>
      </x:c>
      <x:c r="AD158" s="68" t="str">
        <x:v>Full-time</x:v>
      </x:c>
      <x:c r="AE158" s="68" t="str">
        <x:v>Engineering and Information Technology</x:v>
      </x:c>
      <x:c r="AF158" s="68" t="str">
        <x:v>Technology, Information and Internet</x:v>
      </x:c>
      <x:c r="AG158" s="68" t="str">
        <x:v>https://www.linkedin.com/jobs/search/?position=1&amp;pageNum=0&amp;keywords=AI+Engineer&amp;location=United+States&amp;distance=0&amp;f_TPR=r604800</x:v>
      </x:c>
      <x:c r="AH158" s="68" t="str">
        <x:v>{'type': 'PostalAddress', 'addressLocality': 'Sarasota', 'addressRegion': 'FL', 'addressCountry': 'US'}</x:v>
      </x:c>
      <x:c r="AI158" s="68" t="str">
        <x:v>https://tenex.ai</x:v>
      </x:c>
      <x:c r="AJ158" s="68" t="str">
        <x:v>AI-native, human-led SOC that triages every alert, investigates every threat, and frees your team for strategic work. </x:v>
      </x:c>
      <x:c r="AK158" s="68" t="str">
        <x:v>TENEX is the first AI-native, human-led MDR powered by AI SOC.  Backed by 24/7 U.S.based expert analysts with 8+ years avg. experience. Our human-led, AI-driven platform delivers 10x faster detection, &lt;1-minute MTTX, and 95% fewer false positives, transforming security operations economics while dramatically improving outcomes.  AI handles 100% of alerts at machine speed, allowing our experts to focus on complex threats demanding human judgment. We scale through AI, not headcount, delivering premium outcomes without enterprise-level costs.  </x:v>
      </x:c>
      <x:c r="AL158" s="68" t="str">
        <x:v>155.0</x:v>
      </x:c>
      <x:c r="AM158" s="68"/>
      <x:c r="AN158" s="68"/>
      <x:c r="AO158" s="68"/>
      <x:c r="AP158" s="68"/>
    </x:row>
    <x:row r="159" s="25" customFormat="1" ht="22" customHeight="1">
      <x:c r="A159" s="68" t="str">
        <x:v>4453040435</x:v>
      </x:c>
      <x:c r="B159" s="68" t="str">
        <x:v>AI/ML Engineer</x:v>
      </x:c>
      <x:c r="C159" s="68" t="str">
        <x:v>Slalom</x:v>
      </x:c>
      <x:c r="D159" s="68" t="str">
        <x:v>Houston, TX</x:v>
      </x:c>
      <x:c r="E159" s="68" t="str">
        <x:v>Failed</x:v>
      </x:c>
      <x:c r="F159" s="68"/>
      <x:c r="G159" s="69"/>
      <x:c r="H159" s="85" t="str">
        <x:v>2026-08-12</x:v>
      </x:c>
      <x:c r="I159" s="85" t="str">
        <x:v>2026-08-12 13:18:49</x:v>
      </x:c>
      <x:c r="J159" s="68" t="str">
        <x:v>43</x:v>
      </x:c>
      <x:c r="K159" s="70"/>
      <x:c r="L159" s="86"/>
      <x:c r="M159" s="87"/>
      <x:c r="N159" s="71"/>
      <x:c r="O159" s="88"/>
      <x:c r="P159" s="89"/>
      <x:c r="Q159" s="89"/>
      <x:c r="R159" s="89"/>
      <x:c r="S159" s="73"/>
      <x:c r="T159" s="68"/>
      <x:c r="U159" s="68" t="str">
        <x:v>https://www.linkedin.com/jobs/view/ai-ml-engineer-at-slalom-4453040435?position=9&amp;pageNum=7&amp;refId=NSLjjSxE%2FSEW0crQq8FYWQ%3D%3D&amp;trackingId=DEkX3%2BJfxycNQGGznZGk9Q%3D%3D</x:v>
      </x:c>
      <x:c r="V159" s="68" t="str">
        <x:v>DEkX3+JfxycNQGGznZGk9Q==</x:v>
      </x:c>
      <x:c r="W159" s="68" t="str">
        <x:v>NSLjjSxE/SEW0crQq8FYWQ==</x:v>
      </x:c>
      <x:c r="X159" s="68" t="str">
        <x:v>https://www.linkedin.com/company/slalom-consulting?trk=public_jobs_jserp-result_job-search-card-subtitle</x:v>
      </x:c>
      <x:c r="Y159" s="68" t="str">
        <x:v>https://media.licdn.com/dms/image/v2/D560BAQG5l3nKnBCEWA/company-logo_100_100/company-logo_100_100/0/1719861816497/slalom_consulting_logo?e=2147483647&amp;v=beta&amp;t=RMKFTGulqo2H4IUgFNTlPiYXXVPaHpsYx0MSR67KaB0</x:v>
      </x:c>
      <x:c r="Z159" s="68"/>
      <x:c r="AA159" s="68" t="str">
        <x:v>&lt;p&gt;&lt;strong&gt;&lt;span&gt;AI/ML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x:v>
      </x:c>
      <x:c r="AB159" s="68" t="str">
        <x:v>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x:v>
      </x:c>
      <x:c r="AC159" s="68" t="str">
        <x:v>Not Applicable</x:v>
      </x:c>
      <x:c r="AD159" s="68" t="str">
        <x:v>Full-time</x:v>
      </x:c>
      <x:c r="AE159" s="68" t="str">
        <x:v>Engineering and Information Technology</x:v>
      </x:c>
      <x:c r="AF159" s="68" t="str">
        <x:v>Business Consulting and Services</x:v>
      </x:c>
      <x:c r="AG159" s="68" t="str">
        <x:v>https://www.linkedin.com/jobs/search/?position=1&amp;pageNum=0&amp;keywords=AI+Engineer&amp;location=United+States&amp;distance=0&amp;f_TPR=r604800</x:v>
      </x:c>
      <x:c r="AH159" s="68" t="str">
        <x:v>{'type': 'PostalAddress', 'streetAddress': '821 2nd Ave.', 'addressLocality': 'Seattle', 'addressRegion': 'WA', 'postalCode': '98104', 'addressCountry': 'US'}</x:v>
      </x:c>
      <x:c r="AI159" s="68" t="str">
        <x:v>https://www.slalom.com/</x:v>
      </x:c>
      <x:c r="AJ159" s="68" t="str">
        <x:v>Dream big. Build now.</x:v>
      </x:c>
      <x:c r="AK159" s="68" t="str">
        <x:v>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v>
      </x:c>
      <x:c r="AL159" s="68" t="str">
        <x:v>10210.0</x:v>
      </x:c>
      <x:c r="AM159" s="68"/>
      <x:c r="AN159" s="68"/>
      <x:c r="AO159" s="68"/>
      <x:c r="AP159" s="68"/>
    </x:row>
    <x:row r="160" s="25" customFormat="1" ht="22" customHeight="1">
      <x:c r="A160" s="68" t="str">
        <x:v>4402886171</x:v>
      </x:c>
      <x:c r="B160" s="68" t="str">
        <x:v>Artificial Intelligence Engineer</x:v>
      </x:c>
      <x:c r="C160" s="68" t="str">
        <x:v>SLB</x:v>
      </x:c>
      <x:c r="D160" s="68" t="str">
        <x:v>Houston, TX</x:v>
      </x:c>
      <x:c r="E160" s="68" t="str">
        <x:v>Failed</x:v>
      </x:c>
      <x:c r="F160" s="68"/>
      <x:c r="G160" s="69"/>
      <x:c r="H160" s="85" t="str">
        <x:v>2026-08-08</x:v>
      </x:c>
      <x:c r="I160" s="85" t="str">
        <x:v>2026-08-12 13:18:49</x:v>
      </x:c>
      <x:c r="J160" s="68" t="str">
        <x:v>200</x:v>
      </x:c>
      <x:c r="K160" s="70"/>
      <x:c r="L160" s="86"/>
      <x:c r="M160" s="87"/>
      <x:c r="N160" s="71"/>
      <x:c r="O160" s="88"/>
      <x:c r="P160" s="89"/>
      <x:c r="Q160" s="89"/>
      <x:c r="R160" s="89"/>
      <x:c r="S160" s="73"/>
      <x:c r="T160" s="68"/>
      <x:c r="U160" s="68" t="str">
        <x:v>https://www.linkedin.com/jobs/view/artificial-intelligence-engineer-at-slb-4402886171?position=4&amp;pageNum=7&amp;refId=NSLjjSxE%2FSEW0crQq8FYWQ%3D%3D&amp;trackingId=jf1E4CB0tBzydUaEt0Nlcg%3D%3D</x:v>
      </x:c>
      <x:c r="V160" s="68" t="str">
        <x:v>jf1E4CB0tBzydUaEt0Nlcg==</x:v>
      </x:c>
      <x:c r="W160" s="68" t="str">
        <x:v>NSLjjSxE/SEW0crQq8FYWQ==</x:v>
      </x:c>
      <x:c r="X160" s="68" t="str">
        <x:v>https://www.linkedin.com/company/slbglobal?trk=public_jobs_jserp-result_job-search-card-subtitle</x:v>
      </x:c>
      <x:c r="Y160" s="68" t="str">
        <x:v>https://media.licdn.com/dms/image/v2/D560BAQFwhnoORL25KA/company-logo_100_100/company-logo_100_100/0/1666604496648/slbdigital_logo?e=2147483647&amp;v=beta&amp;t=Dx2L1wl4X53IDx6PaM6zRv90UelSa7pTdmJ32guEWpA</x:v>
      </x:c>
      <x:c r="Z160" s="68"/>
      <x:c r="AA160" s="68" t="str">
        <x:v>The Domain AI Integration Engineer will be responsible for integrating advanced Artificial Intelligence and Generative AI capabilities into the company's domain software systems (e.g. Delfi, Lumi), with a focus on designing and shipping production-grade agentic solutions.&lt;br&gt;&lt;br&gt;This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solutions.&lt;br&gt;&lt;br&gt;The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frameworks.&lt;br&gt;&lt;br&gt;This position requires highly specialized knowledge consistent with a professional role in computer science, engineering, or a related technical field, combined with applied domain experience in the energy industry.&lt;br&gt;&lt;br&gt;&lt;strong&gt;Key Responsibilities&lt;br&gt;&lt;br&gt;&lt;/strong&gt;&lt;ul&gt;&lt;li&gt;GenAI Integration for SLB Digital Products&lt;/li&gt;&lt;ul&gt;&lt;li&gt;Integrate AI Foundation services (FM Hub, Model Ops, AI Workspace, Agent Workspace, GenAI Infrastructure) into SLB digital products such as Delfi and Lumi.&lt;/li&gt;&lt;li&gt;Develop reusable integration patterns, APIs, and components that enable scalable, production-ready GenAI capabilities across product teams.&lt;/li&gt;&lt;li&gt;Deliver hands-on enablement — working demos, reference implementations, and workshops — to accelerate GenAI adoption across domain product teams.&lt;/li&gt;&lt;/ul&gt;&lt;li&gt;Domain Foundation Model Integration, Deployment &amp;amp; Benchmarking&lt;/li&gt;&lt;ul&gt;&lt;li&gt;Integrate and deploy domain-specific foundation models into domain workflows and product pipelines, ensuring domain-aligned behavior and performance.&lt;/li&gt;&lt;li&gt;Collaborate with domain teams to define benchmark datasets, evaluation metrics, and acceptance criteria; establish continuous evaluation frameworks to assess model quality, robustness, and domain relevance.&lt;/li&gt;&lt;li&gt;Support product teams in embedding benchmarking and evaluation into their development and release processes.&lt;/li&gt;&lt;li&gt;Optimize deployment workflows for inference efficiency and production readiness.&lt;/li&gt;&lt;/ul&gt;&lt;li&gt;Domain Agentic Solution Development&lt;/li&gt;&lt;ul&gt;&lt;li&gt;Design and build end-to-end agentic solutions — including multi-agent systems, reasoning pipelines, and tool-use orchestration — that address real domain challenges in geoscience and energy.&lt;/li&gt;&lt;li&gt;Translate domain expertise into agent architectures that combine foundation models, domain data, and simulation tools into compound AI systems.&lt;/li&gt;&lt;li&gt;Develop agent evaluation frameworks and serve as an internal reference for advanced agentic solution patterns&lt;br&gt;&lt;/li&gt;&lt;/ul&gt;&lt;/ul&gt;&lt;strong&gt;Required Qualifications&lt;br&gt;&lt;br&gt;&lt;/strong&gt;&lt;ul&gt;&lt;li&gt;Advanced degree (MS or PhD) in Geophysics, Geoscience, Petroleum Engineering, Computer Science, Electrical Engineering, Applied Math, or equivalent.&lt;/li&gt;&lt;li&gt;Experience with AI/ML model integration, deployment, and evaluation.&lt;/li&gt;&lt;li&gt;Proven experience building and deploying agentic AI systems (multi-agent, tool-use, reasoning pipelines) in production.&lt;/li&gt;&lt;li&gt;Experience with cloud‑based AI infrastructure, model operations (Model Ops), and scalable service integration.&lt;/li&gt;&lt;li&gt;Familiarity with geoscience, subsurface, or energy workflows; a strong understanding of domain problems is highly valued and expected for success in this role.&lt;/li&gt;&lt;li&gt;Ability to work cross‑functionally with product teams, domain experts, and platform engineering groups. Strong communication skills, including the ability to deliver technical training and documentation.&lt;br&gt;&lt;br&gt;&lt;/li&gt;&lt;/ul&gt;&lt;strong&gt;Preferred Qualifications&lt;br&gt;&lt;br&gt;&lt;/strong&gt;&lt;ul&gt;&lt;li&gt;Experience with using foundation models, large language models, domain‑specific AI systems, agentic systems.&lt;/li&gt;&lt;li&gt;Hands-on experience with domain AI applications: seismic interpretation, reservoir simulation.&lt;/li&gt;&lt;li&gt;Familiarity with subsurface software platforms.&lt;/li&gt;&lt;li&gt;Experience building benchmarking pipelines, evaluation frameworks, or automated testing systems for AI models.&lt;/li&gt;&lt;li&gt;Knowledge of agent‑based AI architectures and domain agent design.&lt;br&gt;&lt;br&gt;&lt;/li&gt;&lt;/ul&gt;&lt;strong&gt;ALL APPLICANTS FOR U.S. ROLES MUST CAREFULLY READ ALL THE SUPPLEMENTAL U.S. SPECIFIC INFORMATION LISTED BELOW.&lt;br&gt;&lt;br&gt;&lt;/strong&gt;SLB is committed to a culture where everyone feels like they belong. To learn more about our diversity, equity, and inclusion commitments, please visit our Diversity &amp;amp; Inclusion | SLB (slb.com) page for more information.&lt;br&gt;&lt;br&gt;When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&lt;strong&gt;NOT&lt;/strong&gt; a contract.&lt;br&gt;&lt;br&gt;&lt;ul&gt;&lt;li&gt;EQUAL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requested.&lt;/li&gt;&lt;li&gt;REASONABLE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to.&lt;/li&gt;&lt;li&gt;AUTHORIZATION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employer.&lt;/li&gt;&lt;li&gt;APPLICATION CERTIFICATION&lt;br&gt;&lt;br&gt;&lt;/li&gt;&lt;/ul&gt;When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Following&lt;br&gt;&lt;br&gt;&lt;ul&gt;&lt;li&gt;You understand that any omission and/or misrepresentation of any fact from or on the application or during any interview will result in immediate rejection of the application, or if hired, will be cause for immediate dismissal.&lt;/li&gt;&lt;li&gt;You certify that you have read and understand all the supplemental information listed on the job description page for the job that you are applying for.&lt;/li&gt;&lt;li&gt;You authorize the Company to contact the education institutions that you have attended and for the Company to make any further investigations deemed necessary in connection with your application for employment.&lt;/li&gt;&lt;li&gt;You authorize the Company to inquire about, investigate and obtain copies of any records which relate to you from your former employers and educational institutions.&lt;/li&gt;&lt;li&gt;You release the Company and all affiliated persons and entities, as well as any person or institution that provides the Company with any lawful information about you, from any and all liability whatsoever resulting from any such lawful inquiry, investigation, or communication.&lt;/li&gt;&lt;li&gt;You agree that if hired, you will review and become familiar with all the rules and regulations of the Company.&lt;/li&gt;&lt;li&gt;You understand and agree that nothing in the application or supplement shall constitute an offer, a contract, or a guarantee of employment for a specific period of time.&lt;/li&gt;&lt;li&gt;If hired, you understand that your employment may be terminated with or without cause and with or without notice at any time, at the will of the Company or yourself, for any or no reason.&lt;/li&gt;&lt;li&gt;If hired, you understand that no supervisor or manager has authority to make an agreement to the contrary changing employment at-will.&lt;/li&gt;&lt;li&gt;If hired, you understand that the Company and all plan administrators shall have the maximum discretion permitted by law to administer, interpret, modify, discontinue, enhance, or otherwise change all policies, procedures, benefits or other terms and conditions of employment.&lt;/li&gt;&lt;li&gt;You understand that any application that is filled out will be in effect for 90 days from the date you certified it and, if employment is not offered within the 90-day period, you understand that you must reapply to be considered for future employment.&lt;/li&gt;&lt;li&gt;You understand that your application for employment in no way obligates the Company to employ you.&lt;/li&gt;&lt;/ul&gt;&lt;ul&gt;&lt;li&gt;STATE INFORMATION Please read below any applicable State Information. By certifying the application, you are also certifying that you have read and understood any applicable State Information that is listed below.&lt;/li&gt;&lt;li&gt;ARIZONA APPLICANTS ONLY: To the extent required by applicable law, the Company maintains a smoke-free workplace.&lt;/li&gt;&lt;li&gt;CALIFORNIA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Company.&lt;/li&gt;&lt;li&gt;MASSACHUSETTS APPLICANTS ONLY: Note that it is unlawful in Massachusetts to require or administer a lie detector test as a condition of employment or continued employment. An employer who violates this law shall be subject to criminal penalties and civil liability.&lt;/li&gt;&lt;li&gt;MARYLAND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$100.&lt;/li&gt;&lt;li&gt;NEBRASKA APPLICANTS ONLY: By certifying the application you, hereby give consent to any and all prior employers of yours to provide information with regard to your employment with prior employers to SLB.&lt;/li&gt;&lt;/ul&gt;</x:v>
      </x:c>
      <x:c r="AB160" s="68" t="str">
        <x:v>The Domain AI Integration Engineer will be responsible for integrating advanced Artificial Intelligence and Generative AI capabilities into the company's domain software systems (e.g. Delfi, Lumi), with a focus on designing and shipping production-grade agentic solutions.
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
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
This position requires highly specialized knowledge consistent with a professional role in computer science, engineering, or a related technical field, combined with applied domain experience in the energy industry.
Key Responsibilities
- GenAI Integration for SLB Digital Products
- Integrate AI Foundation services (FM Hub, Model Ops, AI Workspace, Agent Workspace, GenAI Infrastructure) into SLB digital products such as Delfi and Lumi.
- Develop reusable integration patterns, APIs, and components that enable scalable, production-ready GenAI capabilities across product teams.
- Deliver hands-on enablement — working demos, reference implementations, and workshops — to accelerate GenAI adoption across domain product teams.
- Domain Foundation Model Integration, Deployment &amp;amp; Benchmarking
- Integrate and deploy domain-specific foundation models into domain workflows and product pipelines, ensuring domain-aligned behavior and performance.
- Collaborate with domain teams to define benchmark datasets, evaluation metrics, and acceptance criteria; establish continuous evaluation frameworks to assess model quality, robustness, and domain relevance.
- Support product teams in embedding benchmarking and evaluation into their development and release processes.
- Optimize deployment workflows for inference efficiency and production readiness.
- Domain Agentic Solution Development
- Design and build end-to-end agentic solutions — including multi-agent systems, reasoning pipelines, and tool-use orchestration — that address real domain challenges in geoscience and energy.
- Translate domain expertise into agent architectures that combine foundation models, domain data, and simulation tools into compound AI systems.
- Develop agent evaluation frameworks and serve as an internal reference for advanced agentic solution patterns
Required Qualifications
- Advanced degree (MS or PhD) in Geophysics, Geoscience, Petroleum Engineering, Computer Science, Electrical Engineering, Applied Math, or equivalent.
- Experience with AI/ML model integration, deployment, and evaluation.
- Proven experience building and deploying agentic AI systems (multi-agent, tool-use, reasoning pipelines) in production.
- Experience with cloud‑based AI infrastructure, model operations (Model Ops), and scalable service integration.
- Familiarity with geoscience, subsurface, or energy workflows; a strong understanding of domain problems is highly valued and expected for success in this role.
- Ability to work cross‑functionally with product teams, domain experts, and platform engineering groups. Strong communication skills, including the ability to deliver technical training and documentation.
Preferred Qualifications
- Experience with using foundation models, large language models, domain‑specific AI systems, agentic systems.
- Hands-on experience with domain AI applications: seismic interpretation, reservoir simulation.
- Familiarity with subsurface software platforms.
- Experience building benchmarking pipelines, evaluation frameworks, or automated testing systems for AI models.
- Knowledge of agent‑based AI architectures and domain agent design.
ALL APPLICANTS FOR U.S. ROLES MUST CAREFULLY READ ALL THE SUPPLEMENTAL U.S. SPECIFIC INFORMATION LISTED BELOW.
SLB is committed to a culture where everyone feels like they belong. To learn more about our diversity, equity, and inclusion commitments, please visit our Diversity &amp;amp; Inclusion | SLB (slb.com) page for more information.
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NOT a contract.
- 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
- 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
- 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
- APPLICATION CERTIFICATION
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
- You understand that any omission and/or misrepresentation of any fact from or on the application or during any interview will result in immediate rejection of the application, or if hired, will be cause for immediate dismissal.
- You certify that you have read and understand all the supplemental information listed on the job description page for the job that you are applying for.
- You authorize the Company to contact the education institutions that you have attended and for the Company to make any further investigations deemed necessary in connection with your application for employment.
- You authorize the Company to inquire about, investigate and obtain copies of any records which relate to you from your former employers and educational institutions.
- You release the Company and all affiliated persons and entities, as well as any person or institution that provides the Company with any lawful information about you, from any and all liability whatsoever resulting from any such lawful inquiry, investigation, or communication.
- You agree that if hired, you will review and become familiar with all the rules and regulations of the Company.
- You understand and agree that nothing in the application or supplement shall constitute an offer, a contract, or a guarantee of employment for a specific period of time.
- If hired, you understand that your employment may be terminated with or without cause and with or without notice at any time, at the will of the Company or yourself, for any or no reason.
- If hired, you understand that no supervisor or manager has authority to make an agreement to the contrary changing employment at-will.
- If hired, you understand that the Company and all plan administrators shall have the maximum discretion permitted by law to administer, interpret, modify, discontinue, enhance, or otherwise change all policies, procedures, benefits or other terms and conditions of employment.
- You understand that any application that is filled out will be in effect for 90 days from the date you certified it and, if employment is not offered within the 90-day period, you understand that you must reapply to be considered for future employment.
- You understand that your application for employment in no way obligates the Company to employ you.
- STATE INFORMATION Please read below any applicable State Information. By certifying the application, you are also certifying that you have read and understood any applicable State Information that is listed below.
- ARIZONA APPLICANTS ONLY: To the extent required by applicable law, the Company maintains a smoke-free workplace.
- 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
- MASSACHUSETTS APPLICANTS ONLY: Note that it is unlawful in Massachusetts to require or administer a lie detector test as a condition of employment or continued employment. An employer who violates this law shall be subject to criminal penalties and civil liability.
- 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
- NEBRASKA APPLICANTS ONLY: By certifying the application you, hereby give consent to any and all prior employers of yours to provide information with regard to your employment with prior employers to SLB.</x:v>
      </x:c>
      <x:c r="AC160" s="68" t="str">
        <x:v>Not Applicable</x:v>
      </x:c>
      <x:c r="AD160" s="68" t="str">
        <x:v>Full-time</x:v>
      </x:c>
      <x:c r="AE160" s="68" t="str">
        <x:v>Engineering and Information Technology</x:v>
      </x:c>
      <x:c r="AF160" s="68" t="str">
        <x:v>Oil and Gas</x:v>
      </x:c>
      <x:c r="AG160" s="68" t="str">
        <x:v>https://www.linkedin.com/jobs/search/?position=1&amp;pageNum=0&amp;keywords=AI+Engineer&amp;location=United+States&amp;distance=0&amp;f_TPR=r604800</x:v>
      </x:c>
      <x:c r="AH160" s="68" t="str">
        <x:v>{'type': 'PostalAddress', 'streetAddress': '5599 San Felipe St', 'addressLocality': 'Houston', 'addressRegion': 'Texas', 'postalCode': '77056', 'addressCountry': 'US'}</x:v>
      </x:c>
      <x:c r="AI160" s="68" t="str">
        <x:v>https://www.slb.com</x:v>
      </x:c>
      <x:c r="AJ160" s="68"/>
      <x:c r="AK160" s="68" t="str">
        <x:v>SLB is a global technology company that has driven energy innovation for more than a century. With a global footprint in more than 100 countries and employees representing almost twice as many nationalities, we work each day on innovating oil and gas, delivering digital at scale, decarbonizing industries, and developing and scaling new energy systems that accelerate the energy transition. Find out more at slb.com.</x:v>
      </x:c>
      <x:c r="AL160" s="68" t="str">
        <x:v>81706.0</x:v>
      </x:c>
      <x:c r="AM160" s="68"/>
      <x:c r="AN160" s="68"/>
      <x:c r="AO160" s="68"/>
      <x:c r="AP160" s="68"/>
    </x:row>
    <x:row r="161" s="25" customFormat="1" ht="22" customHeight="1">
      <x:c r="A161" s="68" t="str">
        <x:v>4441024264</x:v>
      </x:c>
      <x:c r="B161" s="68" t="str">
        <x:v>AI Engineer</x:v>
      </x:c>
      <x:c r="C161" s="68" t="str">
        <x:v>ConstructConnect</x:v>
      </x:c>
      <x:c r="D161" s="68" t="str">
        <x:v>Peachtree Corners, GA</x:v>
      </x:c>
      <x:c r="E161" s="68" t="str">
        <x:v>Failed</x:v>
      </x:c>
      <x:c r="F161" s="68"/>
      <x:c r="G161" s="69"/>
      <x:c r="H161" s="85" t="str">
        <x:v>2026-08-12</x:v>
      </x:c>
      <x:c r="I161" s="85" t="str">
        <x:v>2026-08-12 13:18:49</x:v>
      </x:c>
      <x:c r="J161" s="68" t="str">
        <x:v>200</x:v>
      </x:c>
      <x:c r="K161" s="70"/>
      <x:c r="L161" s="86"/>
      <x:c r="M161" s="87"/>
      <x:c r="N161" s="71"/>
      <x:c r="O161" s="88"/>
      <x:c r="P161" s="89"/>
      <x:c r="Q161" s="89"/>
      <x:c r="R161" s="89"/>
      <x:c r="S161" s="73"/>
      <x:c r="T161" s="68"/>
      <x:c r="U161" s="68" t="str">
        <x:v>https://www.linkedin.com/jobs/view/ai-engineer-at-constructconnect-4441024264?position=7&amp;pageNum=7&amp;refId=NSLjjSxE%2FSEW0crQq8FYWQ%3D%3D&amp;trackingId=OvfDzQLLaRcqMCWeUaOF2w%3D%3D</x:v>
      </x:c>
      <x:c r="V161" s="68" t="str">
        <x:v>OvfDzQLLaRcqMCWeUaOF2w==</x:v>
      </x:c>
      <x:c r="W161" s="68" t="str">
        <x:v>NSLjjSxE/SEW0crQq8FYWQ==</x:v>
      </x:c>
      <x:c r="X161" s="68" t="str">
        <x:v>https://www.linkedin.com/company/constructconnect?trk=public_jobs_jserp-result_job-search-card-subtitle</x:v>
      </x:c>
      <x:c r="Y161" s="68" t="str">
        <x:v>https://media.licdn.com/dms/image/v2/C4D0BAQEdC5hrLqONYA/company-logo_100_100/company-logo_100_100/0/1630490012556/constructconnect_logo?e=2147483647&amp;v=beta&amp;t=lnrOdraDHE-GQBwPAcstCLYiPssREOJJIo6_QLcXKlA</x:v>
      </x:c>
      <x:c r="Z161" s="68"/>
      <x:c r="AA161" s="68" t="str">
        <x:v>&lt;strong&gt;Overview&lt;br&gt;&lt;br&gt;&lt;/strong&gt;This position is hybrid in Peachtree Corners, Georgia and sits within our Product Development division, which develops, tests, and improves our software solutions in an innovative and collaborative environment.&lt;br&gt;&lt;br&gt;&lt;strong&gt;The Opportunity  &lt;br&gt;&lt;br&gt;&lt;/strong&gt;ConstructConnect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solutions.&lt;br&gt;&lt;br&gt;In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customers.&lt;br&gt;&lt;br&gt;&lt;strong&gt;Responsibilities&lt;br&gt;&lt;br&gt;&lt;/strong&gt;&lt;strong&gt;What You’ll Be Doing&lt;/strong&gt; &lt;br&gt;&lt;br&gt;&lt;strong&gt;Platform &amp;amp; Service Development&lt;br&gt;&lt;br&gt;&lt;/strong&gt;&lt;ul&gt;&lt;li&gt; Design, implement, and maintain shared AI platform components such as services, SDKs, templates, workflows, and reusable libraries that software engineering teams can adopt quickly and safely. &lt;/li&gt;&lt;li&gt; Contribute to engineering patterns and paved paths for AI usage, including model access, prompt handling, evaluation, observability, security, and production support. &lt;/li&gt;&lt;li&gt; Partner with product, application, data, and platform teams to translate AI use cases into scalable technical solutions instead of one-off implementations. &lt;/li&gt;&lt;li&gt; Build and operate reliable, cost-aware AI and ML services on cloud platforms using containerized workloads, managed services, and modern infrastructure practices. &lt;/li&gt;&lt;li&gt; Build and improve internal APIs, developer tooling, and integration patterns that simplify access to AI providers, model endpoints, retrieval services, and supporting data systems. &lt;br&gt;&lt;br&gt;&lt;/li&gt;&lt;/ul&gt;&lt;strong&gt;Operations &amp;amp; Delivery&lt;br&gt;&lt;br&gt;&lt;/strong&gt;&lt;ul&gt;&lt;li&gt; Support end-to-end workflows for AI and ML use cases, including data preparation, experimentation, deployment, monitoring, and lifecycle management. &lt;/li&gt;&lt;li&gt; Contribute to CI/CD practices for AI-enabled services and ML components, including automated quality checks, security controls, and release guardrails. &lt;/li&gt;&lt;li&gt; Instrument AI workloads with strong observability practices, including metrics, logs, dashboards, tracing, alerting, and cost visibility. &lt;/li&gt;&lt;li&gt; Troubleshoot and resolve issues related to AI and ML deployments, including latency, scalability, integration failures, reliability problems, and cloud cost concerns. &lt;br&gt;&lt;br&gt;&lt;/li&gt;&lt;/ul&gt;&lt;strong&gt;Governance &amp;amp; Enablement&lt;br&gt;&lt;br&gt;&lt;/strong&gt;&lt;ul&gt;&lt;li&gt; Partner with security, platform engineering, and architecture teams to ensure AI usage aligns with company policies for data classification, access control, privacy, and compliance. &lt;/li&gt;&lt;li&gt; Evaluate emerging AI technologies, frameworks, and vendor capabilities, and share recommendations on where they may fit within ConstructConnect’s engineering roadmap. &lt;/li&gt;&lt;li&gt; Contribute documentation, runbooks, onboarding materials, and reference implementations that help teams adopt AI capabilities with confidence. &lt;/li&gt;&lt;li&gt; This job description in no way implies that the duties listed here are the only ones that team members can be required to perform. &lt;br&gt;&lt;br&gt;&lt;/li&gt;&lt;/ul&gt;&lt;strong&gt;Qualifications&lt;br&gt;&lt;br&gt;&lt;/strong&gt;&lt;strong&gt; What You'll Be Doing &lt;br&gt;&lt;br&gt;&lt;/strong&gt;&lt;strong&gt;Required&lt;br&gt;&lt;br&gt;&lt;/strong&gt;&lt;ul&gt;&lt;li&gt; Bachelor’s degree in Computer Science, Software Engineering, Data Science, or a related field, or equivalent practical experience. &lt;/li&gt;&lt;li&gt; 5–7 years of experience in software engineering, machine learning engineering, platform engineering, or a related area building and operating production systems. &lt;/li&gt;&lt;li&gt; Strong proficiency in at least one modern programming language such as Python, Go, or TypeScript, along with solid software design, debugging, and engineering fundamentals. &lt;/li&gt;&lt;li&gt; Experience building and operating services on a major cloud platform, preferably Google Cloud Platform, including familiarity with compute, storage, networking, and managed services. &lt;/li&gt;&lt;li&gt; Hands-on experience with containers and orchestration technologies such as Docker and Kubernetes. &lt;/li&gt;&lt;li&gt; Experience with CI/CD pipelines and Git-based engineering workflows used to build, test, and deploy services and platform components. &lt;/li&gt;&lt;li&gt; Familiarity with infrastructure-as-code tools such as Terraform for provisioning and managing cloud resources in a repeatable, auditable way. &lt;/li&gt;&lt;li&gt; Familiarity with MLOps concepts and tools used to support model training, evaluation, deployment, and monitoring. &lt;/li&gt;&lt;li&gt; Understanding of modern AI capabilities such as generative AI, embeddings, retrieval patterns, NLP, and related ML concepts, and the ability to apply them responsibly in production environments. &lt;/li&gt;&lt;li&gt; Experience building APIs, services, platforms, or libraries that are consumed by other engineers, with a focus on reliability, usability, and documentation. &lt;/li&gt;&lt;li&gt; Strong foundation in observability and operational excellence, including experience managing service health through metrics, logs, dashboards, and alerting. &lt;/li&gt;&lt;li&gt; Experience working cross-functionally with product, data, infrastructure, platform, and security teams. &lt;/li&gt;&lt;li&gt; Ability to translate technical topics into practical guidance and collaborate effectively in a distributed, remote-friendly environment. &lt;br&gt;&lt;br&gt;&lt;/li&gt;&lt;/ul&gt;&lt;strong&gt;Preferred&lt;br&gt;&lt;br&gt;&lt;/strong&gt;&lt;ul&gt;&lt;li&gt; Experience supporting shared AI enablement, developer productivity, or platform engineering initiatives in a multi-team SaaS environment. &lt;/li&gt;&lt;li&gt; Experience with Google Cloud AI and data services such as Vertex AI, BigQuery, or related managed tooling. &lt;/li&gt;&lt;li&gt; Familiarity with AI evaluation frameworks, guardrails, prompt management, model routing, and lifecycle governance. &lt;/li&gt;&lt;li&gt; Experience working with vector search, retrieval-augmented generation, agentic workflows, or orchestration frameworks in production settings. &lt;/li&gt;&lt;li&gt; Exposure to intelligent search, recommendation systems, NLP, or computer vision use cases. &lt;/li&gt;&lt;li&gt; Background working in environments where security, governance, and operational reliability are important to AI adoption. &lt;br&gt;&lt;br&gt;&lt;/li&gt;&lt;/ul&gt;&lt;strong&gt;Physical Demands And Work Environment&lt;br&gt;&lt;br&gt;&lt;/strong&gt;&lt;ul&gt;&lt;li&gt; The physical activities of this position include frequent sitting, telephone communication, and working on a computer for extended periods. Visual acuity is required to perform activities close to the eyes. &lt;/li&gt;&lt;li&gt; Team members are expected to maintain a dedicated and ergonomically appropriate remote workspace. &lt;/li&gt;&lt;li&gt; Team members who live within commuting distance of one of our office locations (Greater Cincinnati/Northern Kentucky or Atlanta, Georgia) are expected to work in a hybrid capacity, with regular in-office presence as determined by the team or department. &lt;/li&gt;&lt;li&gt; All team members must reside and perform their work within the United States. &lt;br&gt;&lt;br&gt;&lt;/li&gt;&lt;/ul&gt;&lt;strong&gt; E-Verify Statement &lt;br&gt;&lt;br&gt;&lt;/strong&gt;ConstructConnect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Security.&lt;br&gt;&lt;br&gt;Privacy Notice</x:v>
      </x:c>
      <x:c r="AB161" s="68" t="str">
        <x:v>Overview
This position is hybrid in Peachtree Corners, Georgia and sits within our Product Development division, which develops, tests, and improves our software solutions in an innovative and collaborative environment.
The Opportunity  
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
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
Responsibilities
What You’ll Be Doing 
Platform &amp;amp; Service Development
-  Design, implement, and maintain shared AI platform components such as services, SDKs, templates, workflows, and reusable libraries that software engineering teams can adopt quickly and safely. 
-  Contribute to engineering patterns and paved paths for AI usage, including model access, prompt handling, evaluation, observability, security, and production support. 
-  Partner with product, application, data, and platform teams to translate AI use cases into scalable technical solutions instead of one-off implementations. 
-  Build and operate reliable, cost-aware AI and ML services on cloud platforms using containerized workloads, managed services, and modern infrastructure practices. 
-  Build and improve internal APIs, developer tooling, and integration patterns that simplify access to AI providers, model endpoints, retrieval services, and supporting data systems. 
Operations &amp;amp; Delivery
-  Support end-to-end workflows for AI and ML use cases, including data preparation, experimentation, deployment, monitoring, and lifecycle management. 
-  Contribute to CI/CD practices for AI-enabled services and ML components, including automated quality checks, security controls, and release guardrails. 
-  Instrument AI workloads with strong observability practices, including metrics, logs, dashboards, tracing, alerting, and cost visibility. 
-  Troubleshoot and resolve issues related to AI and ML deployments, including latency, scalability, integration failures, reliability problems, and cloud cost concerns. 
Governance &amp;amp; Enablement
-  Partner with security, platform engineering, and architecture teams to ensure AI usage aligns with company policies for data classification, access control, privacy, and compliance. 
-  Evaluate emerging AI technologies, frameworks, and vendor capabilities, and share recommendations on where they may fit within ConstructConnect’s engineering roadmap. 
-  Contribute documentation, runbooks, onboarding materials, and reference implementations that help teams adopt AI capabilities with confidence. 
-  This job description in no way implies that the duties listed here are the only ones that team members can be required to perform. 
Qualifications
 What You'll Be Doing 
Required
-  Bachelor’s degree in Computer Science, Software Engineering, Data Science, or a related field, or equivalent practical experience. 
-  5–7 years of experience in software engineering, machine learning engineering, platform engineering, or a related area building and operating production systems. 
-  Strong proficiency in at least one modern programming language such as Python, Go, or TypeScript, along with solid software design, debugging, and engineering fundamentals. 
-  Experience building and operating services on a major cloud platform, preferably Google Cloud Platform, including familiarity with compute, storage, networking, and managed services. 
-  Hands-on experience with containers and orchestration technologies such as Docker and Kubernetes. 
-  Experience with CI/CD pipelines and Git-based engineering workflows used to build, test, and deploy services and platform components. 
-  Familiarity with infrastructure-as-code tools such as Terraform for provisioning and managing cloud resources in a repeatable, auditable way. 
-  Familiarity with MLOps concepts and tools used to support model training, evaluation, deployment, and monitoring. 
-  Understanding of modern AI capabilities such as generative AI, embeddings, retrieval patterns, NLP, and related ML concepts, and the ability to apply them responsibly in production environments. 
-  Experience building APIs, services, platforms, or libraries that are consumed by other engineers, with a focus on reliability, usability, and documentation. 
-  Strong foundation in observability and operational excellence, including experience managing service health through metrics, logs, dashboards, and alerting. 
-  Experience working cross-functionally with product, data, infrastructure, platform, and security teams. 
-  Ability to translate technical topics into practical guidance and collaborate effectively in a distributed, remote-friendly environment. 
Preferred
-  Experience supporting shared AI enablement, developer productivity, or platform engineering initiatives in a multi-team SaaS environment. 
-  Experience with Google Cloud AI and data services such as Vertex AI, BigQuery, or related managed tooling. 
-  Familiarity with AI evaluation frameworks, guardrails, prompt management, model routing, and lifecycle governance. 
-  Experience working with vector search, retrieval-augmented generation, agentic workflows, or orchestration frameworks in production settings. 
-  Exposure to intelligent search, recommendation systems, NLP, or computer vision use cases. 
-  Background working in environments where security, governance, and operational reliability are important to AI adoption.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x:v>
      </x:c>
      <x:c r="AC161" s="68" t="str">
        <x:v>Not Applicable</x:v>
      </x:c>
      <x:c r="AD161" s="68" t="str">
        <x:v>Full-time</x:v>
      </x:c>
      <x:c r="AE161" s="68" t="str">
        <x:v>Engineering and Information Technology</x:v>
      </x:c>
      <x:c r="AF161" s="68" t="str">
        <x:v>Software Development</x:v>
      </x:c>
      <x:c r="AG161" s="68" t="str">
        <x:v>https://www.linkedin.com/jobs/search/?position=1&amp;pageNum=0&amp;keywords=AI+Engineer&amp;location=United+States&amp;distance=0&amp;f_TPR=r604800</x:v>
      </x:c>
      <x:c r="AH161" s="68" t="str">
        <x:v>{'type': 'PostalAddress', 'streetAddress': '3825 Edwards Rd', 'addressLocality': 'Cincinnati', 'addressRegion': 'OH', 'postalCode': '45209', 'addressCountry': 'US'}</x:v>
      </x:c>
      <x:c r="AI161" s="68" t="str">
        <x:v>https://www.constructconnect.com/</x:v>
      </x:c>
      <x:c r="AJ161" s="68" t="str">
        <x:v>Helping construction pros find, bid, and win more projects.</x:v>
      </x:c>
      <x:c r="AK161" s="68" t="str">
        <x:v>ConstructConnect is a leading provider of construction information and technology solutions. We help commercial construction firms simplify the preconstruction process with a powerful software suite built to support the largest network, most accurate project information, and integrated takeoffs.</x:v>
      </x:c>
      <x:c r="AL161" s="68" t="str">
        <x:v>1098.0</x:v>
      </x:c>
      <x:c r="AM161" s="68"/>
      <x:c r="AN161" s="68"/>
      <x:c r="AO161" s="68"/>
      <x:c r="AP161" s="68"/>
    </x:row>
    <x:row r="162" s="25" customFormat="1" ht="22" customHeight="1">
      <x:c r="A162" s="68" t="str">
        <x:v>4451861914</x:v>
      </x:c>
      <x:c r="B162" s="68" t="str">
        <x:v>Machine Learning Engineer</x:v>
      </x:c>
      <x:c r="C162" s="68" t="str">
        <x:v>H&amp;R Block</x:v>
      </x:c>
      <x:c r="D162" s="68" t="str">
        <x:v>Missouri, United States</x:v>
      </x:c>
      <x:c r="E162" s="68" t="str">
        <x:v>In Progress</x:v>
      </x:c>
      <x:c r="F162" s="68"/>
      <x:c r="G162" s="69"/>
      <x:c r="H162" s="85" t="str">
        <x:v>2026-08-10</x:v>
      </x:c>
      <x:c r="I162" s="85" t="str">
        <x:v>2026-08-12 13:18:49</x:v>
      </x:c>
      <x:c r="J162" s="68" t="str">
        <x:v>200</x:v>
      </x:c>
      <x:c r="K162" s="70"/>
      <x:c r="L162" s="86"/>
      <x:c r="M162" s="87"/>
      <x:c r="N162" s="71"/>
      <x:c r="O162" s="88"/>
      <x:c r="P162" s="89"/>
      <x:c r="Q162" s="89"/>
      <x:c r="R162" s="89"/>
      <x:c r="S162" s="73"/>
      <x:c r="T162" s="68"/>
      <x:c r="U162" s="68" t="str">
        <x:v>https://www.linkedin.com/jobs/view/machine-learning-engineer-at-h-r-block-4451861914?position=6&amp;pageNum=7&amp;refId=NSLjjSxE%2FSEW0crQq8FYWQ%3D%3D&amp;trackingId=KSH1HlBO3W1RSxXgKspS2A%3D%3D</x:v>
      </x:c>
      <x:c r="V162" s="68" t="str">
        <x:v>KSH1HlBO3W1RSxXgKspS2A==</x:v>
      </x:c>
      <x:c r="W162" s="68" t="str">
        <x:v>NSLjjSxE/SEW0crQq8FYWQ==</x:v>
      </x:c>
      <x:c r="X162" s="68" t="str">
        <x:v>https://www.linkedin.com/company/h&amp;r-block?trk=public_jobs_jserp-result_job-search-card-subtitle</x:v>
      </x:c>
      <x:c r="Y162" s="68" t="str">
        <x:v>https://media.licdn.com/dms/image/v2/C4D0BAQE5prZkZY0C6A/company-logo_100_100/company-logo_100_100/0/1630561773270/hr_block_logo?e=2147483647&amp;v=beta&amp;t=98Pd8BqiXzXFJfu7mNUMI_jQ6-pqbb1RQNkAXDMwY84</x:v>
      </x:c>
      <x:c r="Z162" s="68"/>
      <x:c r="AA162" s="68" t="str">
        <x:v>&lt;strong&gt;About The Role&lt;br&gt;&lt;br&gt;&lt;/strong&gt;The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models.&lt;br&gt;&lt;br&gt;&lt;strong&gt;Responsibilities And Duties&lt;br&gt;&lt;br&gt;&lt;/strong&gt;&lt;ul&gt;&lt;li&gt;Model Development: Design, build, and deploy machine learning models—including generative AI models—to address complex business problems. &lt;/li&gt;&lt;li&gt;Data Collaboration: Work with teammates to preprocess, clean, and analyze structured and unstructured data for use in ML pipelines. &lt;/li&gt;&lt;li&gt;Performance Optimization: Tune and optimize models for accuracy, efficiency, and scalability in production environments. &lt;/li&gt;&lt;li&gt;Integration Support: Collaborate with MLOps Engineers to ensure smooth deployment, monitoring, and maintenance of ML models. &lt;/li&gt;&lt;li&gt;Continuous Learning: Stay informed on the latest advancements in machine learning, deep learning, and generative AI technologies, and apply them where appropriate. &lt;/li&gt;&lt;li&gt;Team Collaboration: Contribute to a collaborative engineering culture by sharing knowledge, participating in code reviews, and supporting team initiatives. &lt;br&gt;&lt;br&gt;&lt;/li&gt;&lt;/ul&gt;&lt;strong&gt;Required Qualifications&lt;br&gt;&lt;br&gt;&lt;/strong&gt;&lt;ul&gt;&lt;li&gt;Bachelor’s degree in Computer Science, Statistics, Mathematics, or a related field (or equivalent experience). &lt;/li&gt;&lt;li&gt;3 years total experience.&lt;/li&gt;&lt;li&gt;Hands-on experience with ML frameworks such as scikit-learn, TensorFlow, PyTorch, and spaCy. &lt;/li&gt;&lt;li&gt;Proficiency in Python and familiarity with ML development workflows. &lt;/li&gt;&lt;li&gt;Strong analytical and problem-solving skills with attention to detail. &lt;/li&gt;&lt;li&gt;Effective communication and collaboration skills in a team-oriented environment. &lt;/li&gt;&lt;li&gt;Experience with generative AI is a plus. &lt;br&gt;&lt;br&gt;&lt;/li&gt;&lt;/ul&gt;&lt;strong&gt;Preferred Qualifications&lt;br&gt;&lt;br&gt;&lt;/strong&gt;&lt;ul&gt;&lt;li&gt;Master's or PhD in Computer Science, Statistics, Mathematics, or a related field (or equivalent experience). &lt;/li&gt;&lt;li&gt;Hands-on experience with building and deploying Machine Learning models for real time inference. &lt;br&gt;&lt;br&gt;&lt;/li&gt;&lt;/ul&gt;&lt;strong&gt;Why work for us&lt;br&gt;&lt;br&gt;&lt;/strong&gt;At H&amp;amp;R Block, our purpose is simple: to provide help and inspire confidence in our clients and communities everywhere. For more than 70 years, we’ve led the tax industry and we continue to evolve through our Block Next strategy, blending human expertise with digital innovation.&lt;br&gt;&lt;br&gt;That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work.&lt;br&gt;&lt;br&gt;&lt;strong&gt;Pay Range Information&lt;br&gt;&lt;br&gt;&lt;/strong&gt;The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benefit.&lt;br&gt;&lt;br&gt;&lt;strong&gt;Pay Range&lt;br&gt;&lt;br&gt;&lt;/strong&gt;$91,000.00 - $145,600.00/Yr.</x:v>
      </x:c>
      <x:c r="AB162" s="68" t="str">
        <x:v>About The Role
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
Responsibilities And Duties
- Model Development: Design, build, and deploy machine learning models—including generative AI models—to address complex business problems. 
- Data Collaboration: Work with teammates to preprocess, clean, and analyze structured and unstructured data for use in ML pipelines. 
- Performance Optimization: Tune and optimize models for accuracy, efficiency, and scalability in production environments. 
- Integration Support: Collaborate with MLOps Engineers to ensure smooth deployment, monitoring, and maintenance of ML models. 
- Continuous Learning: Stay informed on the latest advancements in machine learning, deep learning, and generative AI technologies, and apply them where appropriate. 
- Team Collaboration: Contribute to a collaborative engineering culture by sharing knowledge, participating in code reviews, and supporting team initiatives. 
Required Qualifications
- Bachelor’s degree in Computer Science, Statistics, Mathematics, or a related field (or equivalent experience). 
- 3 years total experience.
- Hands-on experience with ML frameworks such as scikit-learn, TensorFlow, PyTorch, and spaCy. 
- Proficiency in Python and familiarity with ML development workflows. 
- Strong analytical and problem-solving skills with attention to detail. 
- Effective communication and collaboration skills in a team-oriented environment. 
- Experience with generative AI is a plus. 
Preferred Qualifications
- Master's or PhD in Computer Science, Statistics, Mathematics, or a related field (or equivalent experience). 
- Hands-on experience with building and deploying Machine Learning models for real time inference. 
Why work for us
At H&amp;amp;R Block, our purpose is simple: to provide help and inspire confidence in our clients and communities everywhere. For more than 70 years, we’ve led the tax industry and we continue to evolve through our Block Next strategy, blending human expertise with digital innovation.
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
Pay Range
$91,000.00 - $145,600.00/Yr.</x:v>
      </x:c>
      <x:c r="AC162" s="68" t="str">
        <x:v>Not Applicable</x:v>
      </x:c>
      <x:c r="AD162" s="68" t="str">
        <x:v>Full-time</x:v>
      </x:c>
      <x:c r="AE162" s="68" t="str">
        <x:v>Engineering and Information Technology</x:v>
      </x:c>
      <x:c r="AF162" s="68" t="str">
        <x:v>Financial Services</x:v>
      </x:c>
      <x:c r="AG162" s="68" t="str">
        <x:v>https://www.linkedin.com/jobs/search/?position=1&amp;pageNum=0&amp;keywords=AI+Engineer&amp;location=United+States&amp;distance=0&amp;f_TPR=r604800</x:v>
      </x:c>
      <x:c r="AH162" s="68" t="str">
        <x:v>{'type': 'PostalAddress', 'streetAddress': 'One H&amp;R Block Way', 'addressLocality': 'Kansas City', 'addressRegion': 'MO', 'postalCode': '64105', 'addressCountry': 'US'}</x:v>
      </x:c>
      <x:c r="AI162" s="68" t="str">
        <x:v>https://www.hrblock.com</x:v>
      </x:c>
      <x:c r="AJ162" s="68" t="str">
        <x:v>With expert guidance, upfront pricing, and more ways to file, it’s #BetterWithBlock.</x:v>
      </x:c>
      <x:c r="AK162" s="68" t="str">
        <x:v>H&amp;R Block’s purpose is simple: To provide help and inspire confidence in our clients and communities everywhere. We’ve been true to that purpose since brothers Henry and Richard Bloch founded our company in 1955. Since then, we’ve prepared approximately 800 million tax returns and grown to have approximately 12,000 offices throughout the United States and around the world. We know that tax needs and situations change from year to year. That’s why we offer new and innovative ways to prepare and file taxes so clients can choose what suits them best.
We are a people company first and a tax company second. With this in mind, we deliver care in every interaction, conversation, and at each touchpoint. That’s how we build long-lasting relationships with clients, communities, and associates.
People who join H&amp;R Block say it feels like being part of something bigger. A place with an amazing and storied history, but with a strong and urgent focus on the future. Maybe it's because our company still has the feeling of ‘family’ serving as the foundation for our associates and franchisees who bring our purpose to life each day. Maybe it’s how determined, forward thinking and innovative we are, or how accessible our leadership is. We believe it’s all those things, and much more. 
Our ideas are rooted in unique and diverse perspectives fueled by curiosity and creativity. We’re not afraid to try new things, and never rest on past success. We are passionate in the way we advocate for each other, for our clients, and most importantly, we not only say we are better together…we truly believe it! </x:v>
      </x:c>
      <x:c r="AL162" s="68" t="str">
        <x:v>16122.0</x:v>
      </x:c>
      <x:c r="AM162" s="68"/>
      <x:c r="AN162" s="68"/>
      <x:c r="AO162" s="68"/>
      <x:c r="AP162" s="68"/>
    </x:row>
    <x:row r="163" s="25" customFormat="1" ht="22" customHeight="1">
      <x:c r="A163" s="68" t="str">
        <x:v>4423569127</x:v>
      </x:c>
      <x:c r="B163" s="68" t="str">
        <x:v>Agentic AI Machine Learning Engineer</x:v>
      </x:c>
      <x:c r="C163" s="68" t="str">
        <x:v>Booz Allen Hamilton</x:v>
      </x:c>
      <x:c r="D163" s="68" t="str">
        <x:v>Annapolis Junction, MD</x:v>
      </x:c>
      <x:c r="E163" s="68" t="str">
        <x:v>Failed</x:v>
      </x:c>
      <x:c r="F163" s="68"/>
      <x:c r="G163" s="69"/>
      <x:c r="H163" s="85" t="str">
        <x:v>2026-08-09</x:v>
      </x:c>
      <x:c r="I163" s="85" t="str">
        <x:v>2026-08-12 13:18:49</x:v>
      </x:c>
      <x:c r="J163" s="68" t="str">
        <x:v>53</x:v>
      </x:c>
      <x:c r="K163" s="70"/>
      <x:c r="L163" s="86"/>
      <x:c r="M163" s="87"/>
      <x:c r="N163" s="71"/>
      <x:c r="O163" s="88"/>
      <x:c r="P163" s="89"/>
      <x:c r="Q163" s="89"/>
      <x:c r="R163" s="89"/>
      <x:c r="S163" s="73"/>
      <x:c r="T163" s="68"/>
      <x:c r="U163" s="68" t="str">
        <x:v>https://www.linkedin.com/jobs/view/agentic-ai-machine-learning-engineer-at-booz-allen-hamilton-4423569127?position=5&amp;pageNum=7&amp;refId=NSLjjSxE%2FSEW0crQq8FYWQ%3D%3D&amp;trackingId=XcSabipNGSyd0OtOxN%2BB0Q%3D%3D</x:v>
      </x:c>
      <x:c r="V163" s="68" t="str">
        <x:v>XcSabipNGSyd0OtOxN+B0Q==</x:v>
      </x:c>
      <x:c r="W163" s="68" t="str">
        <x:v>NSLjjSxE/SEW0crQq8FYWQ==</x:v>
      </x:c>
      <x:c r="X163" s="68" t="str">
        <x:v>https://www.linkedin.com/company/booz-allen-hamilton?trk=public_jobs_jserp-result_job-search-card-subtitle</x:v>
      </x:c>
      <x:c r="Y163" s="68" t="str">
        <x:v>https://media.licdn.com/dms/image/v2/D4E0BAQFXBzVcVDSTOQ/company-logo_100_100/company-logo_100_100/0/1737465459820/booz_allen_hamilton_logo?e=2147483647&amp;v=beta&amp;t=SswDqk5ZXqP0jtQgXL12ktHuwfRb0zf8se42kJe-lFM</x:v>
      </x:c>
      <x:c r="Z163" s="68"/>
      <x:c r="AA163" s="68" t="str">
        <x:v>&lt;strong&gt;Job Number: R0241535&lt;br&gt;&lt;br&gt;&lt;/strong&gt;Agentic AI Machine Learning Engineer&lt;br&gt;&lt;br&gt;&lt;strong&gt;The Opportunity: &lt;br&gt;&lt;br&gt;&lt;/strong&gt;As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sectors.&lt;br&gt;&lt;br&gt;On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environments.&lt;br&gt;&lt;br&gt;Ready to transform the Defense and Intelligence sectors with software systems to aid data accessibility and AI and ML operationalization?&lt;br&gt;&lt;br&gt;Join us. The world can’t wait.&lt;br&gt;&lt;br&gt;&lt;strong&gt;You Have:&lt;/strong&gt; &lt;br&gt;&lt;br&gt;&lt;ul&gt;&lt;li&gt;3+ years of experience as a ML engineer and building production-grade ML solutions, including work involving LLMs, agents, or complex automation frameworks&lt;/li&gt;&lt;li&gt;Experience working within data science or data research in a professional or academic environment, and training or deploying models across multiple modalities of data&lt;/li&gt;&lt;li&gt;Experience working in cloud environments, including AWS or Azure&lt;/li&gt;&lt;li&gt;Experience deploying and integrating production-grade ML models using tools, such as Docker and Kubernetes&lt;/li&gt;&lt;li&gt;Experience with Large Language Models (LLM), Deep Learning (DL), and Reinforcement Learning (RL), and with tools and AI agent frameworks such as LangChain, LangGraph, PydanticAI, or llamaindex&lt;/li&gt;&lt;li&gt;Experience in connecting Agents to APIs, Cloud platforms, or databases&lt;/li&gt;&lt;li&gt;Experience evaluating LLM performance and building observation layers for stakeholders, including Grafana, Langfuse, LangSmith, or Phoenix&lt;/li&gt;&lt;li&gt;Experience evaluating architectural tradeoffs and designing robust service-based software applications for scalable use&lt;/li&gt;&lt;li&gt;Ability to obtain a Secret clearance&lt;/li&gt;&lt;li&gt;Bachelor’s degree&lt;br&gt;&lt;br&gt;&lt;br&gt;&lt;/li&gt;&lt;/ul&gt;&lt;strong&gt;Nice If You Have:&lt;/strong&gt; &lt;br&gt;&lt;br&gt;&lt;ul&gt;&lt;li&gt;Experience with programming, including ML frameworks such as TensorFlow, PyTorch, llama.cpp, and vLLM&lt;/li&gt;&lt;li&gt;Experience with client engagements, client-facing project work, and business development&lt;/li&gt;&lt;li&gt;Experience with project work in deep learning, computer vision, NLP, or signal processing&lt;/li&gt;&lt;li&gt;Experience deploying and managing data brokering solutions, including Kafka, Red Panda, Confluent, and other related services &lt;/li&gt;&lt;li&gt;Ability to adapt in a rapidly changing environment&lt;/li&gt;&lt;li&gt;Possession of excellent verbal and written communication skills&lt;/li&gt;&lt;li&gt;Possession of excellent interpersonal, analytical, problem-solving, and organizational skills&lt;/li&gt;&lt;li&gt;Secret clearance&lt;/li&gt;&lt;li&gt;Master's degree&lt;br&gt;&lt;br&gt;&lt;br&gt;&lt;/li&gt;&lt;/ul&gt;&lt;strong&gt;Clearance:&lt;/strong&gt;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v>
      </x:c>
      <x:c r="AB163" s="68" t="str">
        <x:v>Job Number: R0241535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LLMs, agents, or complex automation frameworks
- Experience working within data science or data research in a professional or academic environment, and training or deploying models across multiple modalities of data
- Experience working in cloud environments, including AWS or Azure
- Experience deploying and integrating production-grade ML models using tools, such as Docker and Kubernetes
- Experience with Large Language Models (LLM), Deep Learning (DL), and Reinforcement Learning (RL), and with tools and AI agent frameworks such as LangChain, LangGraph, PydanticAI, or llamaindex
- Experience in connecting Agents to APIs, Cloud platforms, or databases
- Experience evaluating LLM performance and building observation layers for stakeholders, including Grafana, Langfuse, LangSmith, or Phoenix
- Experience evaluating architectural tradeoffs and designing robust service-based software applications for scalable use
- Ability to obtain a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Secret clearance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v>
      </x:c>
      <x:c r="AC163" s="68" t="str">
        <x:v>Not Applicable</x:v>
      </x:c>
      <x:c r="AD163" s="68" t="str">
        <x:v>Full-time</x:v>
      </x:c>
      <x:c r="AE163" s="68" t="str">
        <x:v>Engineering and Information Technology</x:v>
      </x:c>
      <x:c r="AF163" s="68" t="str">
        <x:v>Software Development</x:v>
      </x:c>
      <x:c r="AG163" s="68" t="str">
        <x:v>https://www.linkedin.com/jobs/search/?position=1&amp;pageNum=0&amp;keywords=AI+Engineer&amp;location=United+States&amp;distance=0&amp;f_TPR=r604800</x:v>
      </x:c>
      <x:c r="AH163" s="68" t="str">
        <x:v>{'type': 'PostalAddress', 'streetAddress': '8283 Greensboro Drive', 'addressLocality': 'McLean', 'addressRegion': 'VA', 'postalCode': '22102', 'addressCountry': 'US'}</x:v>
      </x:c>
      <x:c r="AI163" s="68" t="str">
        <x:v>https://boozallen.co/3PbO3a2</x:v>
      </x:c>
      <x:c r="AJ163" s="68"/>
      <x:c r="AK163" s="68" t="str">
        <x:v>Whether at the border, up in space, or on the battlefield, we build the advanced technology that makes America stronger, faster, and safer. It’s who we are and what we do. It’s in our code. </x:v>
      </x:c>
      <x:c r="AL163" s="68" t="str">
        <x:v>37240.0</x:v>
      </x:c>
      <x:c r="AM163" s="68"/>
      <x:c r="AN163" s="68"/>
      <x:c r="AO163" s="68"/>
      <x:c r="AP163" s="68"/>
    </x:row>
    <x:row r="164" s="25" customFormat="1" ht="22" customHeight="1">
      <x:c r="A164" s="68" t="str">
        <x:v>4448772188</x:v>
      </x:c>
      <x:c r="B164" s="68" t="str">
        <x:v>AI/ML Engineer</x:v>
      </x:c>
      <x:c r="C164" s="68" t="str">
        <x:v>Stealth</x:v>
      </x:c>
      <x:c r="D164" s="68" t="str">
        <x:v>San Francisco Bay Area</x:v>
      </x:c>
      <x:c r="E164" s="68" t="str">
        <x:v>Applied</x:v>
      </x:c>
      <x:c r="F164" s="68"/>
      <x:c r="G164" s="69"/>
      <x:c r="H164" s="85" t="str">
        <x:v>2026-08-07</x:v>
      </x:c>
      <x:c r="I164" s="85" t="str">
        <x:v>2026-08-12 13:18:49</x:v>
      </x:c>
      <x:c r="J164" s="68" t="str">
        <x:v>200</x:v>
      </x:c>
      <x:c r="K164" s="70" t="str">
        <x:v>$200,000.00/yr - $300,000.00/yr</x:v>
      </x:c>
      <x:c r="L164" s="86"/>
      <x:c r="M164" s="87"/>
      <x:c r="N164" s="71"/>
      <x:c r="O164" s="88"/>
      <x:c r="P164" s="89"/>
      <x:c r="Q164" s="89"/>
      <x:c r="R164" s="89"/>
      <x:c r="S164" s="73"/>
      <x:c r="T164" s="68"/>
      <x:c r="U164" s="68" t="str">
        <x:v>https://www.linkedin.com/jobs/view/ai-ml-engineer-at-stealth-4448772188?position=2&amp;pageNum=7&amp;refId=NSLjjSxE%2FSEW0crQq8FYWQ%3D%3D&amp;trackingId=qfveXe%2F6klMTCCTCZk%2FAoA%3D%3D</x:v>
      </x:c>
      <x:c r="V164" s="68" t="str">
        <x:v>qfveXe/6klMTCCTCZk/AoA==</x:v>
      </x:c>
      <x:c r="W164" s="68" t="str">
        <x:v>NSLjjSxE/SEW0crQq8FYWQ==</x:v>
      </x:c>
      <x:c r="X164" s="68" t="str">
        <x:v>https://www.linkedin.com/company/steath?trk=public_jobs_jserp-result_job-search-card-subtitle</x:v>
      </x:c>
      <x:c r="Y164" s="68" t="str">
        <x:v>https://media.licdn.com/dms/image/v2/D560BAQGZmytIy-1DPA/company-logo_100_100/B56ZZYBgQTGUAQ-/0/1745233511985/timelyai_logo?e=2147483647&amp;v=beta&amp;t=W7cQdD9MN1HB9m_T9u2cuSmPKvr_qv6O4MMgRQLbxp0</x:v>
      </x:c>
      <x:c r="Z164" s="68"/>
      <x:c r="AA164" s="68" t="str">
        <x:v>&lt;p&gt;&lt;strong&gt;AI/ML Engineer&lt;/strong&gt;&lt;/p&gt;&lt;p&gt;Location: San Francisco, CA or New York, NY&lt;/p&gt;&lt;p&gt;Work model: Hybrid (3 days on-site)&lt;/p&gt;&lt;p&gt;Salary: $200K–$300K + equity&lt;/p&gt;&lt;p&gt;&lt;br&gt;&lt;/p&gt;&lt;p&gt;We're hiring an AI/ML Engineer at a well-backed applied AI startup founded by serial entrepreneurs and supported by prominent Silicon Valley investors. We deploy frontier AI into the world's most important institutions — governments, healthcare systems, and critical industries.&lt;/p&gt;&lt;p&gt;&lt;br&gt;&lt;/p&gt;&lt;p&gt;This isn't a research role. You'll take state-of-the-art models and make them work in production, at scale, inside institutions that impact millions of people.&lt;/p&gt;&lt;p&gt;&lt;br&gt;&lt;/p&gt;&lt;p&gt;&lt;strong&gt;The problem you'd help solve:&lt;/strong&gt;&lt;/p&gt;&lt;p&gt;The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admin).&lt;/p&gt;&lt;p&gt;You'd be building and deploying the AI systems that generate results like those — not demos, not prototypes, but production software running inside real institutions.&lt;/p&gt;&lt;p&gt;&lt;br&gt;&lt;/p&gt;&lt;p&gt;&lt;strong&gt;You'll likely be a fit if you have:&lt;/strong&gt;&lt;/p&gt;&lt;ul&gt;&lt;li&gt;5+ years of industry experience building and deploying production AI/ML systems — or 2–3 years with an exceptional academic background from a top-tier institution&lt;/li&gt;&lt;li&gt;A BSc, Master's, or PhD in Computer Science, Machine Learning, Data Science, or a related field from a strong university&lt;/li&gt;&lt;li&gt;Hands-on experience building production GenAI applications — agents, reasoning models, RAG — not just research implementations&lt;/li&gt;&lt;li&gt;Strong working knowledge of LLM architecture and operation&lt;/li&gt;&lt;li&gt;Direct experience implementing models in PyTorch, JAX, or TensorFlow&lt;/li&gt;&lt;li&gt;Strong foundations in data structures, algorithms, and software engineering principles&lt;/li&gt;&lt;li&gt;The ability to own a problem end-to-end and acquire whatever knowledge is needed to ship&lt;/li&gt;&lt;/ul&gt;&lt;p&gt;&lt;br&gt;&lt;/p&gt;&lt;p&gt;&lt;strong&gt;Nice to have:&lt;/strong&gt;&lt;/p&gt;&lt;ul&gt;&lt;li&gt;Experience at a high-growth AI startup — this is the profile we weight most heavily&lt;/li&gt;&lt;li&gt;Background at a top-tier AI lab or recognisable big tech company (Google DeepMind, NVIDIA, Tesla, etc.)&lt;/li&gt;&lt;li&gt;Experience deploying AI in regulated or institutional environments (government, healthcare, energy)&lt;/li&gt;&lt;li&gt;Ex-founder or early-stage startup experience&lt;/li&gt;&lt;li&gt;Comfort operating across software engineering, product, and stakeholder management simultaneously&lt;/li&gt;&lt;/ul&gt;&lt;p&gt;&lt;br&gt;&lt;/p&gt;&lt;p&gt;&lt;strong&gt;What you won't find here:&lt;/strong&gt;&lt;/p&gt;&lt;p&gt;This role won't suit you if you want to stay in research, avoid ambiguity, or hand off deployment to someone else. You'll interact directly with government officials and institutional leaders across multiple countries. If you need a narrow job description, this isn't it.&lt;/p&gt;</x:v>
      </x:c>
      <x:c r="AB164" s="68" t="str">
        <x:v>
AI/ML Engineer
Location: San Francisco, CA or New York, NY
Work model: Hybrid (3 days on-site)
Salary: $200K–$300K + equity
We're hiring an AI/ML Engineer at a well-backed applied AI startup founded by serial entrepreneurs and supported by prominent Silicon Valley investors. We deploy frontier AI into the world's most important institutions — governments, healthcare systems, and critical industries.
This isn't a research role. You'll take state-of-the-art models and make them work in production, at scale, inside institutions that impact millions of people.
The problem you'd help solve:
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
You'd be building and deploying the AI systems that generate results like those — not demos, not prototypes, but production software running inside real institutions.
You'll likely be a fit if you have:
- 5+ years of industry experience building and deploying production AI/ML systems — or 2–3 years with an exceptional academic background from a top-tier institution
- A BSc, Master's, or PhD in Computer Science, Machine Learning, Data Science, or a related field from a strong university
- Hands-on experience building production GenAI applications — agents, reasoning models, RAG — not just research implementations
- Strong working knowledge of LLM architecture and operation
- Direct experience implementing models in PyTorch, JAX, or TensorFlow
- Strong foundations in data structures, algorithms, and software engineering principles
- The ability to own a problem end-to-end and acquire whatever knowledge is needed to ship
Nice to have:
- Experience at a high-growth AI startup — this is the profile we weight most heavily
- Background at a top-tier AI lab or recognisable big tech company (Google DeepMind, NVIDIA, Tesla, etc.)
- Experience deploying AI in regulated or institutional environments (government, healthcare, energy)
- Ex-founder or early-stage startup experience
- Comfort operating across software engineering, product, and stakeholder management simultaneously
What you won't find here:
This role won't suit you if you want to stay in research, avoid ambiguity, or hand off deployment to someone else. You'll interact directly with government officials and institutional leaders across multiple countries. If you need a narrow job description, this isn't it.</x:v>
      </x:c>
      <x:c r="AC164" s="68" t="str">
        <x:v>Mid-Senior level</x:v>
      </x:c>
      <x:c r="AD164" s="68" t="str">
        <x:v>Full-time</x:v>
      </x:c>
      <x:c r="AE164" s="68"/>
      <x:c r="AF164" s="68" t="str">
        <x:v>Software Development, Technology, Information and Media, and Artificial Intelligence</x:v>
      </x:c>
      <x:c r="AG164" s="68" t="str">
        <x:v>https://www.linkedin.com/jobs/search/?position=1&amp;pageNum=0&amp;keywords=AI+Engineer&amp;location=United+States&amp;distance=0&amp;f_TPR=r604800</x:v>
      </x:c>
      <x:c r="AH164" s="68" t="str">
        <x:v>{'type': 'PostalAddress', 'addressLocality': 'Phoenix', 'addressRegion': 'Arizona', 'postalCode': '72901', 'addressCountry': 'US'}</x:v>
      </x:c>
      <x:c r="AI164" s="68" t="str">
        <x:v>https://www.timelyai.com</x:v>
      </x:c>
      <x:c r="AJ164" s="68" t="str">
        <x:v>Stealth-ing!</x:v>
      </x:c>
      <x:c r="AK164" s="68" t="str">
        <x:v>TimelyAI is building a Marketing Saas for Time-based Businesses. 
“The idea is to solve the most burning need of our customers- Growing their clientele at an affordable price and being able to build lasting relationships with them for repeat business and referrals.”
"Coming soon with something extremely 'crazy'!"</x:v>
      </x:c>
      <x:c r="AL164" s="68" t="str">
        <x:v>6158.0</x:v>
      </x:c>
      <x:c r="AM164" s="68"/>
      <x:c r="AN164" s="68"/>
      <x:c r="AO164" s="68"/>
      <x:c r="AP164" s="68"/>
    </x:row>
    <x:row r="165" s="25" customFormat="1" ht="22" customHeight="1">
      <x:c r="A165" s="68" t="str">
        <x:v>4451401399</x:v>
      </x:c>
      <x:c r="B165" s="68" t="str">
        <x:v>Artificial Intelligence Engineer</x:v>
      </x:c>
      <x:c r="C165" s="68" t="str">
        <x:v>Aux Partners</x:v>
      </x:c>
      <x:c r="D165" s="68" t="str">
        <x:v>United States</x:v>
      </x:c>
      <x:c r="E165" s="68" t="str">
        <x:v>Failed</x:v>
      </x:c>
      <x:c r="F165" s="68"/>
      <x:c r="G165" s="69"/>
      <x:c r="H165" s="85" t="str">
        <x:v>2026-08-10</x:v>
      </x:c>
      <x:c r="I165" s="85" t="str">
        <x:v>2026-08-12 13:18:49</x:v>
      </x:c>
      <x:c r="J165" s="68" t="str">
        <x:v>200</x:v>
      </x:c>
      <x:c r="K165" s="70" t="str">
        <x:v>$110,000.00/yr - $140,000.00/yr</x:v>
      </x:c>
      <x:c r="L165" s="86"/>
      <x:c r="M165" s="87"/>
      <x:c r="N165" s="71"/>
      <x:c r="O165" s="88"/>
      <x:c r="P165" s="89"/>
      <x:c r="Q165" s="89"/>
      <x:c r="R165" s="89"/>
      <x:c r="S165" s="73"/>
      <x:c r="T165" s="68"/>
      <x:c r="U165" s="68" t="str">
        <x:v>https://www.linkedin.com/jobs/view/artificial-intelligence-engineer-at-aux-partners-4451401399?position=4&amp;pageNum=6&amp;refId=kqPf9FPV08TvEoOB6aa3bA%3D%3D&amp;trackingId=I05ctbh%2BXRc2wLxRlS%2BFnA%3D%3D</x:v>
      </x:c>
      <x:c r="V165" s="68" t="str">
        <x:v>I05ctbh+XRc2wLxRlS+FnA==</x:v>
      </x:c>
      <x:c r="W165" s="68" t="str">
        <x:v>kqPf9FPV08TvEoOB6aa3bA==</x:v>
      </x:c>
      <x:c r="X165" s="68" t="str">
        <x:v>https://www.linkedin.com/company/auxpartners?trk=public_jobs_jserp-result_job-search-card-subtitle</x:v>
      </x:c>
      <x:c r="Y165" s="68" t="str">
        <x:v>https://media.licdn.com/dms/image/v2/D560BAQGkrzXlng30ow/company-logo_100_100/B56Zjx8TXaHkAg-/0/1756405774131/auxpartners_logo?e=2147483647&amp;v=beta&amp;t=HK9cXiow-ObZRKIhVTQee-VXGCVXEIquz8j6fpNggNA</x:v>
      </x:c>
      <x:c r="Z165" s="68"/>
      <x:c r="AA165" s="68" t="str">
        <x:v>&lt;p&gt;AI Engineer&lt;/p&gt;&lt;p&gt;&lt;br&gt;&lt;/p&gt;&lt;p&gt;Remote&lt;/p&gt;&lt;p&gt;&lt;strong&gt;Salary&lt;/strong&gt;: $110-140k&lt;/p&gt;&lt;p&gt;&lt;br&gt;&lt;/p&gt;&lt;p&gt;&lt;strong&gt;*United States Citizens ONLY*&lt;/strong&gt;&lt;/p&gt;&lt;p&gt;&lt;br&gt;&lt;/p&gt;&lt;p&gt;&lt;strong&gt;Position Summary:&lt;/strong&gt;&lt;/p&gt;&lt;p&gt;We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engineers.&lt;/p&gt;&lt;p&gt;&lt;br&gt;&lt;/p&gt;&lt;p&gt;The ideal candidate will be responsible for participating in AI deployments, maintaining robust environments, and supporting cross-functional teams; including operations, sales, client management, strategy, and product in leveraging AI tools to drive efficiency, accuracy, and innovation.&lt;/p&gt;&lt;p&gt;&lt;br&gt;&lt;/p&gt;&lt;p&gt;&lt;strong&gt;Key Responsibilities:&lt;/strong&gt;&lt;/p&gt;&lt;p&gt;AI Implementation &amp;amp; Deployment&lt;/p&gt;&lt;ul&gt;&lt;li&gt;Collaborate with our AI engineer and Senior Director of Business Planning and Analysis to implement aide in the implementation of our AI tools and apps into production environments.&lt;/li&gt;&lt;li&gt;Manage infrastructure setup, including cloud environments, containerization, and CI/CD pipelines for AI workflows.&lt;/li&gt;&lt;li&gt;Ensure scalability, security, and compliance of AI systems in alignment with enterprise standards.&lt;/li&gt;&lt;/ul&gt;&lt;p&gt;&lt;br&gt;&lt;/p&gt;&lt;p&gt;Operational Scaling through Agents &amp;amp; Automation&lt;/p&gt;&lt;ul&gt;&lt;li&gt;Design and deploy AI agents and automation frameworks to streamline valuation workflows and reduce manual effort.&lt;/li&gt;&lt;li&gt;Identify high-impact opportunities for automation across operations and client-facing processes.&lt;/li&gt;&lt;li&gt;Build scalable systems that support high-volume, low-latency AI-driven decision-making.&lt;/li&gt;&lt;/ul&gt;&lt;p&gt;&lt;br&gt;&lt;/p&gt;&lt;p&gt;Cross-Functional Support&lt;/p&gt;&lt;ul&gt;&lt;li&gt;Partner with operations and client management teams to integrate AI tools into daily workflows and client deliverables.&lt;/li&gt;&lt;li&gt;Work with product and strategy teams to prototype and refine AI-driven features and services.&lt;/li&gt;&lt;li&gt;Provide technical support and training to internal stakeholders on AI capabilities and usage.&lt;/li&gt;&lt;/ul&gt;&lt;p&gt;&lt;br&gt;&lt;/p&gt;&lt;p&gt;Environment &amp;amp; Tooling Management&lt;/p&gt;&lt;ul&gt;&lt;li&gt;Maintain and optimize development and production environments for AI experimentation and deployment.&lt;/li&gt;&lt;li&gt;Monitor model performance and implement feedback loops for continuous improvement.&lt;/li&gt;&lt;li&gt;Support data ingestion, transformation, and annotation pipelines in collaboration with data engineering.&lt;/li&gt;&lt;/ul&gt;&lt;p&gt;&lt;br&gt;&lt;/p&gt;&lt;p&gt;Innovation &amp;amp; Collaboration&lt;/p&gt;&lt;ul&gt;&lt;li&gt;Stay current with advancements in AI/ML, including GenAI, NLP, and computer vision, and evaluate their applicability to valuation workflows.&lt;/li&gt;&lt;li&gt;Contribute to the design and enhancement of SVI’s AI infrastructure, including integrations with Dataverse, Power Platform, and proprietary tools.&lt;/li&gt;&lt;/ul&gt;&lt;p&gt;&lt;br&gt;&lt;/p&gt;&lt;p&gt;Qualifications:&lt;/p&gt;&lt;ul&gt;&lt;li&gt;Bachelor’s or Master’s degree in Computer Science, Data Science, or a related field.&lt;/li&gt;&lt;li&gt;3+ years of experience in AI/ML engineering, preferably in a production environment.&lt;/li&gt;&lt;li&gt;Proficiency in Python (notably Jupyter / Anaconda), MySQL, and ML frameworks&lt;/li&gt;&lt;li&gt;Experience with cloud platforms (Azure, Redshift, AWS)&lt;/li&gt;&lt;li&gt;Experience in Microsoft Power Platform, CoPilot Studio, and related&lt;/li&gt;&lt;li&gt;Strong communication skills and ability to work cross-functionally with both technical and non-technical teams.&lt;/li&gt;&lt;li&gt;Familiarity with valuation, real estate, or financial services is a plus.&lt;/li&gt;&lt;/ul&gt;&lt;p&gt;&lt;br&gt;&lt;/p&gt;&lt;p&gt;Preferred Attributes:&lt;/p&gt;&lt;ul&gt;&lt;li&gt;Experience building and deploying AI agents or automation systems in enterprise environments.&lt;/li&gt;&lt;li&gt;Knowledge of orchestration tools (e.g., LangChain, Semantic Kernel) and LLM integration.&lt;/li&gt;&lt;li&gt;Experience with workflow and mapping tools, specifically Ollama, n8n a plus&lt;/li&gt;&lt;li&gt;Ability to translate business needs into scalable AI solutions.&lt;/li&gt;&lt;li&gt;Comfortable working in a fast-paced, evolving environment with a high degree of autonomy&lt;/li&gt;&lt;/ul&gt;&lt;p&gt;&lt;br&gt;&lt;/p&gt;</x:v>
      </x:c>
      <x:c r="AB165" s="68" t="str">
        <x:v>
AI Engineer
Remote
Salary: $110-140k
*United States Citizens ONLY*
Position Summary:
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
The ideal candidate will be responsible for participating in AI deployments, maintaining robust environments, and supporting cross-functional teams; including operations, sales, client management, strategy, and product in leveraging AI tools to drive efficiency, accuracy, and innovation.
Key Responsibilities:
AI Implementation &amp;amp; Deployment
- Collaborate with our AI engineer and Senior Director of Business Planning and Analysis to implement aide in the implementation of our AI tools and apps into production environments.
- Manage infrastructure setup, including cloud environments, containerization, and CI/CD pipelines for AI workflows.
- Ensure scalability, security, and compliance of AI systems in alignment with enterprise standards.
Operational Scaling through Agents &amp;amp; Automation
- Design and deploy AI agents and automation frameworks to streamline valuation workflows and reduce manual effort.
- Identify high-impact opportunities for automation across operations and client-facing processes.
- Build scalable systems that support high-volume, low-latency AI-driven decision-making.
Cross-Functional Support
- Partner with operations and client management teams to integrate AI tools into daily workflows and client deliverables.
- Work with product and strategy teams to prototype and refine AI-driven features and services.
- Provide technical support and training to internal stakeholders on AI capabilities and usage.
Environment &amp;amp; Tooling Management
- Maintain and optimize development and production environments for AI experimentation and deployment.
- Monitor model performance and implement feedback loops for continuous improvement.
- Support data ingestion, transformation, and annotation pipelines in collaboration with data engineering.
Innovation &amp;amp; Collaboration
- Stay current with advancements in AI/ML, including GenAI, NLP, and computer vision, and evaluate their applicability to valuation workflows.
- Contribute to the design and enhancement of SVI’s AI infrastructure, including integrations with Dataverse, Power Platform, and proprietary tools.
Qualifications:
- Bachelor’s or Master’s degree in Computer Science, Data Science, or a related field.
- 3+ years of experience in AI/ML engineering, preferably in a production environment.
- Proficiency in Python (notably Jupyter / Anaconda), MySQL, and ML frameworks
- Experience with cloud platforms (Azure, Redshift, AWS)
- Experience in Microsoft Power Platform, CoPilot Studio, and related
- Strong communication skills and ability to work cross-functionally with both technical and non-technical teams.
- Familiarity with valuation, real estate, or financial services is a plus.
Preferred Attributes:
- Experience building and deploying AI agents or automation systems in enterprise environments.
- Knowledge of orchestration tools (e.g., LangChain, Semantic Kernel) and LLM integration.
- Experience with workflow and mapping tools, specifically Ollama, n8n a plus
- Ability to translate business needs into scalable AI solutions.
- Comfortable working in a fast-paced, evolving environment with a high degree of autonomy
</x:v>
      </x:c>
      <x:c r="AC165" s="68" t="str">
        <x:v>Mid-Senior level</x:v>
      </x:c>
      <x:c r="AD165" s="68" t="str">
        <x:v>Full-time</x:v>
      </x:c>
      <x:c r="AE165" s="68" t="str">
        <x:v>Engineering and Information Technology</x:v>
      </x:c>
      <x:c r="AF165" s="68" t="str">
        <x:v>Real Estate</x:v>
      </x:c>
      <x:c r="AG165" s="68" t="str">
        <x:v>https://www.linkedin.com/jobs/search/?position=1&amp;pageNum=0&amp;keywords=AI+Engineer&amp;location=United+States&amp;distance=0&amp;f_TPR=r604800</x:v>
      </x:c>
      <x:c r="AH165" s="68" t="str">
        <x:v>{'type': 'PostalAddress', 'streetAddress': '7923 Floyd St', 'addressLocality': 'Overland Park', 'addressRegion': 'Kansas', 'postalCode': '66204', 'addressCountry': 'US'}</x:v>
      </x:c>
      <x:c r="AI165" s="68" t="str">
        <x:v>http://AUXpartners.com</x:v>
      </x:c>
      <x:c r="AJ165" s="68" t="str">
        <x:v>Recruiting the Future</x:v>
      </x:c>
      <x:c r="AK165" s="68" t="str">
        <x:v>Aux is a full-scale Technology, Cyber, Manufacturing, Engineering, Construction, Sales, Finance, Real Estate, Marketing &amp; Management/Executive Search Firm specializing in Consultant Engagements, Contract-to-Hire, Staff Augmentation and Direct Placements. We also offer a cost effective, retention structure for your organizational needs (Recruitment Managed Services).
We don't aim to be the biggest recruitment consultancy but we do aim to be the best. We help businesses build powerful teams that deliver against exceptionally high standards by holding ourselves up to those same values. Quality and integrity are our values we believe make us different. 
Our team is broken down to focus on industry, assignment type, salary level and location, so your hiring requirements or job search will all be handled by a specialist who knows your sector inside-out. We are confident that our expertise can add value to your recruitment or job search process – get in touch to find out more.
Reach out to admin@auxpartners.com to begin the recruitment process.</x:v>
      </x:c>
      <x:c r="AL165" s="68" t="str">
        <x:v>8.0</x:v>
      </x:c>
      <x:c r="AM165" s="68" t="str">
        <x:v>Peyton Warwick</x:v>
      </x:c>
      <x:c r="AN165" s="68" t="str">
        <x:v>Recruiting the Future</x:v>
      </x:c>
      <x:c r="AO165" s="68" t="str">
        <x:v>https://media.licdn.com/dms/image/v2/D4D03AQHei8HJCIvc5Q/profile-displayphoto-shrink_400_400/profile-displayphoto-shrink_400_400/0/1668712826275?e=2147483647&amp;v=beta&amp;t=7OP6YYFd1mmlANrZxTxUvOOaZH0-650rjvbzO9yTy9s</x:v>
      </x:c>
      <x:c r="AP165" s="68" t="str">
        <x:v>https://www.linkedin.com/in/peyton-warwick</x:v>
      </x:c>
    </x:row>
    <x:row r="166" s="25" customFormat="1" ht="22" customHeight="1">
      <x:c r="A166" s="68" t="str">
        <x:v>4442252486</x:v>
      </x:c>
      <x:c r="B166" s="68" t="str">
        <x:v>Junior AI Engineer</x:v>
      </x:c>
      <x:c r="C166" s="68" t="str">
        <x:v>Systems Integration Solutions</x:v>
      </x:c>
      <x:c r="D166" s="68" t="str">
        <x:v>Austin, TX</x:v>
      </x:c>
      <x:c r="E166" s="68" t="str">
        <x:v>Applied</x:v>
      </x:c>
      <x:c r="F166" s="68"/>
      <x:c r="G166" s="69"/>
      <x:c r="H166" s="85" t="str">
        <x:v>2026-08-11</x:v>
      </x:c>
      <x:c r="I166" s="85" t="str">
        <x:v>2026-08-12 13:18:49</x:v>
      </x:c>
      <x:c r="J166" s="68" t="str">
        <x:v>200</x:v>
      </x:c>
      <x:c r="K166" s="70"/>
      <x:c r="L166" s="86"/>
      <x:c r="M166" s="87"/>
      <x:c r="N166" s="71"/>
      <x:c r="O166" s="88"/>
      <x:c r="P166" s="89"/>
      <x:c r="Q166" s="89"/>
      <x:c r="R166" s="89"/>
      <x:c r="S166" s="73"/>
      <x:c r="T166" s="68"/>
      <x:c r="U166" s="68" t="str">
        <x:v>https://www.linkedin.com/jobs/view/junior-ai-engineer-at-systems-integration-solutions-4442252486?position=9&amp;pageNum=8&amp;refId=iJ7JllnznD4v9vYGfj%2FYiQ%3D%3D&amp;trackingId=wdegPQxUA93iadaWZTMLow%3D%3D</x:v>
      </x:c>
      <x:c r="V166" s="68" t="str">
        <x:v>wdegPQxUA93iadaWZTMLow==</x:v>
      </x:c>
      <x:c r="W166" s="68" t="str">
        <x:v>iJ7JllnznD4v9vYGfj/YiQ==</x:v>
      </x:c>
      <x:c r="X166" s="68" t="str">
        <x:v>https://www.linkedin.com/company/systems-integration-solutions?trk=public_jobs_jserp-result_job-search-card-subtitle</x:v>
      </x:c>
      <x:c r="Y166" s="68" t="str">
        <x:v>https://media.licdn.com/dms/image/v2/C4E0BAQFArfJGQ10Ntg/company-logo_100_100/company-logo_100_100/0/1631319526359?e=2147483647&amp;v=beta&amp;t=4k8lz4Hs05V8Lsd5a0czgOeQn7sx0rzet9Fm6M3JQnU</x:v>
      </x:c>
      <x:c r="Z166" s="68"/>
      <x:c r="AA166" s="68" t="str">
        <x:v>&lt;p&gt;Junior AI Engineer&lt;/p&gt;&lt;p&gt;Location: Austin, TX (Onsite)&lt;/p&gt;&lt;p&gt;Employment Type: W2 Only&lt;/p&gt;&lt;p&gt;Interview Process&lt;/p&gt;&lt;p&gt;In-Person Interview Required&lt;/p&gt;&lt;p&gt;&lt;br&gt;&lt;/p&gt;&lt;p&gt;&lt;br&gt;Job Summar&lt;/p&gt;&lt;p&gt;yWe are seeking a motivated&lt;strong&gt; Junior AI Enginee&lt;/strong&gt;r to join our team in Austin, TX. The ideal candidate will have experience in&lt;strong&gt; Python, Java, MongoDB, Large Language Models (LLMs), and Agentic A&lt;/strong&gt;I. This role offers the opportunity to work on innovative AI solutions, intelligent agent systems, and enterprise AI applications&lt;/p&gt;&lt;p&gt;&lt;br&gt;&lt;/p&gt;&lt;p&gt;.&lt;br&gt;The candidate must possess strong problem-solving skills and be comfortable working in a collaborative, fast-paced environmen&lt;/p&gt;&lt;p&gt;&lt;br&gt;&lt;/p&gt;&lt;p&gt;t.&lt;br&gt;Required Ski&lt;/p&gt;&lt;ul&gt;&lt;li&gt;lls1–3 years of experience in Software Development, AI Engineering, or a related fie&lt;/li&gt;&lt;li&gt;ld.Strong programming skills &lt;strong&gt;in Pyt&lt;/strong&gt;hon a&lt;strong&gt;nd J&lt;/strong&gt;a&lt;/li&gt;&lt;li&gt;va.Experience working wi&lt;strong&gt;th Mong&lt;/strong&gt;o&lt;/li&gt;&lt;li&gt;DB.Knowledge &lt;strong&gt;of Large Language Models (LL&lt;/strong&gt;Ms) and prompt engineeri&lt;/li&gt;&lt;li&gt;ng.Experience wi&lt;strong&gt;th Agentic&lt;/strong&gt; AI, AI Agents, Multi-Agent Systems, or AI Automation framewor&lt;/li&gt;&lt;li&gt;ks.Strong analytical and problem-solving skil&lt;/li&gt;&lt;li&gt;ls.Experience with REST APIs and software development best practic&lt;/li&gt;&lt;li&gt;es.Familiarity with Git/GitH&lt;/li&gt;&lt;/ul&gt;&lt;p&gt;ub.Responsibilit&lt;/p&gt;&lt;ul&gt;&lt;li&gt;iesDevelop and maintain AI-powered applications and intelligent agent solutio&lt;/li&gt;&lt;li&gt;ns.Build and enhance LLM-based applications and Agentic AI workflo&lt;/li&gt;&lt;li&gt;ws.Integrate AI solutions with databases, APIs, and enterprise syste&lt;/li&gt;&lt;li&gt;ms.Collaborate with engineering and product teams to design scalable AI solutio&lt;/li&gt;&lt;li&gt;ns.Troubleshoot, optimize, and improve application performan&lt;/li&gt;&lt;li&gt;ce.Participate in code reviews and technical discussio&lt;/li&gt;&lt;li&gt;ns.Stay updated with emerging AI technologies and best practic&lt;/li&gt;&lt;/ul&gt;&lt;p&gt;es.Preferred Qualificati&lt;/p&gt;&lt;ul&gt;&lt;li&gt;onsExperience with LangChain, LangGraph, CrewAI, AutoGen, OpenAI, or similar AI framewor&lt;/li&gt;&lt;li&gt;ks.Knowledge of RAG (Retrieval-Augmented Generation) and Vector Databas&lt;/li&gt;&lt;li&gt;es.Exposure to cloud platforms such as AWS, Azure, or G&lt;/li&gt;&lt;li&gt;CP.Understanding of machine learning concepts and AI model deployme&lt;/li&gt;&lt;/ul&gt;&lt;p&gt;nt.Educat&lt;/p&gt;&lt;ul&gt;&lt;li&gt;ionBachelor's degree in Computer Science, Artificial Intelligence, Information Technology, or a related fie&lt;/li&gt;&lt;/ul&gt;&lt;p&gt;&lt;br&gt;&lt;/p&gt;&lt;p&gt;ld.&lt;br&gt;Additional Requirem&lt;/p&gt;&lt;ul&gt;&lt;li&gt;&lt;strong&gt;entsW2 candidates o&lt;/strong&gt;&lt;/li&gt;&lt;li&gt;nly.Must be able to attend&lt;strong&gt; an in-person interview in Austin,&lt;/strong&gt;&lt;/li&gt;&lt;li&gt; TX.Strong communication and problem-solving skills are requi&lt;/li&gt;&lt;/ul&gt;&lt;p&gt;&lt;br&gt;&lt;/p&gt;red.</x:v>
      </x:c>
      <x:c r="AB166" s="68" t="str">
        <x:v>
Junior AI Engineer
Location: Austin, TX (Onsite)
Employment Type: W2 Only
Interview Process
In-Person Interview Required
Job Summar
yWe are seeking a motivated Junior AI Engineer to join our team in Austin, TX. The ideal candidate will have experience in Python, Java, MongoDB, Large Language Models (LLMs), and Agentic AI. This role offers the opportunity to work on innovative AI solutions, intelligent agent systems, and enterprise AI applications
.
The candidate must possess strong problem-solving skills and be comfortable working in a collaborative, fast-paced environmen
t.
Required Ski
- lls1–3 years of experience in Software Development, AI Engineering, or a related fie
- ld.Strong programming skills in Python and Ja
- va.Experience working with Mongo
- DB.Knowledge of Large Language Models (LLMs) and prompt engineeri
- ng.Experience with Agentic AI, AI Agents, Multi-Agent Systems, or AI Automation framewor
- ks.Strong analytical and problem-solving skil
- ls.Experience with REST APIs and software development best practic
- es.Familiarity with Git/GitH
ub.Responsibilit
- iesDevelop and maintain AI-powered applications and intelligent agent solutio
- ns.Build and enhance LLM-based applications and Agentic AI workflo
- ws.Integrate AI solutions with databases, APIs, and enterprise syste
- ms.Collaborate with engineering and product teams to design scalable AI solutio
- ns.Troubleshoot, optimize, and improve application performan
- ce.Participate in code reviews and technical discussio
- ns.Stay updated with emerging AI technologies and best practic
es.Preferred Qualificati
- onsExperience with LangChain, LangGraph, CrewAI, AutoGen, OpenAI, or similar AI framewor
- ks.Knowledge of RAG (Retrieval-Augmented Generation) and Vector Databas
- es.Exposure to cloud platforms such as AWS, Azure, or G
- CP.Understanding of machine learning concepts and AI model deployme
nt.Educat
- ionBachelor's degree in Computer Science, Artificial Intelligence, Information Technology, or a related fie
ld.
Additional Requirem
- entsW2 candidates o
- nly.Must be able to attend an in-person interview in Austin,
-  TX.Strong communication and problem-solving skills are requi
red.</x:v>
      </x:c>
      <x:c r="AC166" s="68" t="str">
        <x:v>Entry level</x:v>
      </x:c>
      <x:c r="AD166" s="68" t="str">
        <x:v>Contract</x:v>
      </x:c>
      <x:c r="AE166" s="68" t="str">
        <x:v>Engineering, Consulting, and Product Management</x:v>
      </x:c>
      <x:c r="AF166" s="68" t="str">
        <x:v>IT Services and IT Consulting and Business Consulting and Services</x:v>
      </x:c>
      <x:c r="AG166" s="68" t="str">
        <x:v>https://www.linkedin.com/jobs/search/?position=1&amp;pageNum=0&amp;keywords=AI+Engineer&amp;location=United+States&amp;distance=0&amp;f_TPR=r604800</x:v>
      </x:c>
      <x:c r="AH166" s="68" t="str">
        <x:v>{'type': 'PostalAddress', 'streetAddress': '5000 Executive Parkway, Suite #450', 'addressLocality': 'San Ramon', 'addressRegion': 'California', 'postalCode': '94583', 'addressCountry': 'US'}</x:v>
      </x:c>
      <x:c r="AI166" s="68" t="str">
        <x:v>http://www.sisinc.com</x:v>
      </x:c>
      <x:c r="AJ166" s="68"/>
      <x:c r="AK166" s="68" t="str">
        <x:v>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x:v>
      </x:c>
      <x:c r="AL166" s="68" t="str">
        <x:v>70.0</x:v>
      </x:c>
      <x:c r="AM166" s="68" t="str">
        <x:v>Mandeep (Mani) Sachdeva</x:v>
      </x:c>
      <x:c r="AN166" s="68" t="str">
        <x:v>Technical Resource Manager at Systems Integration Solutions</x:v>
      </x:c>
      <x:c r="AO166" s="68" t="str">
        <x:v>https://media.licdn.com/dms/image/v2/C5603AQEqUFFu73G80g/profile-displayphoto-shrink_400_400/profile-displayphoto-shrink_400_400/0/1516903930834?e=2147483647&amp;v=beta&amp;t=bwbBkfp1XNHYX0PZn9pWjZD1KAyofMwczx7M6dVtuUs</x:v>
      </x:c>
      <x:c r="AP166" s="68" t="str">
        <x:v>https://www.linkedin.com/in/mandeep-mani-sachdeva-0a758340</x:v>
      </x:c>
    </x:row>
    <x:row r="167" s="25" customFormat="1" ht="22" customHeight="1">
      <x:c r="A167" s="68" t="str">
        <x:v>4450087062</x:v>
      </x:c>
      <x:c r="B167" s="68" t="str">
        <x:v>AI/ML Engineer</x:v>
      </x:c>
      <x:c r="C167" s="68" t="str">
        <x:v>GLOBO</x:v>
      </x:c>
      <x:c r="D167" s="68" t="str">
        <x:v>Philadelphia, PA</x:v>
      </x:c>
      <x:c r="E167" s="68" t="str">
        <x:v>Applied</x:v>
      </x:c>
      <x:c r="F167" s="68"/>
      <x:c r="G167" s="69"/>
      <x:c r="H167" s="85" t="str">
        <x:v>2026-08-07</x:v>
      </x:c>
      <x:c r="I167" s="85" t="str">
        <x:v>2026-08-12 13:18:49</x:v>
      </x:c>
      <x:c r="J167" s="68" t="str">
        <x:v>200</x:v>
      </x:c>
      <x:c r="K167" s="70"/>
      <x:c r="L167" s="86"/>
      <x:c r="M167" s="87"/>
      <x:c r="N167" s="71"/>
      <x:c r="O167" s="88"/>
      <x:c r="P167" s="89"/>
      <x:c r="Q167" s="89"/>
      <x:c r="R167" s="89"/>
      <x:c r="S167" s="73"/>
      <x:c r="T167" s="68"/>
      <x:c r="U167" s="68" t="str">
        <x:v>https://www.linkedin.com/jobs/view/ai-ml-engineer-at-globo-4450087062?position=8&amp;pageNum=8&amp;refId=iJ7JllnznD4v9vYGfj%2FYiQ%3D%3D&amp;trackingId=qQ%2FA48axhf4DO6eFHdCTxQ%3D%3D</x:v>
      </x:c>
      <x:c r="V167" s="68" t="str">
        <x:v>qQ/A48axhf4DO6eFHdCTxQ==</x:v>
      </x:c>
      <x:c r="W167" s="68" t="str">
        <x:v>iJ7JllnznD4v9vYGfj/YiQ==</x:v>
      </x:c>
      <x:c r="X167" s="68" t="str">
        <x:v>https://www.linkedin.com/company/helloglobo?trk=public_jobs_jserp-result_job-search-card-subtitle</x:v>
      </x:c>
      <x:c r="Y167" s="68" t="str">
        <x:v>https://media.licdn.com/dms/image/v2/C4E0BAQGQz_YvomkVVg/company-logo_100_100/company-logo_100_100/0/1631367221316/helloglobo_logo?e=2147483647&amp;v=beta&amp;t=vLmqpF2VNONUFOU83wHKUZhAqE0WYCrruJpNoJziZA8</x:v>
      </x:c>
      <x:c r="Z167" s="68"/>
      <x:c r="AA167" s="68" t="str">
        <x:v>&lt;strong&gt;Description&lt;br&gt;&lt;br&gt;&lt;/strong&gt;&lt;strong&gt;About the Role:&lt;br&gt;&lt;br&gt;&lt;/strong&gt;Reporting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experience.&lt;br&gt;&lt;br&gt;The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on.&lt;br&gt;&lt;br&gt;&lt;strong&gt;Data Engineering &amp;amp; Pipeline Development&lt;br&gt;&lt;br&gt;&lt;/strong&gt;&lt;ul&gt;&lt;li&gt;Build and maintain reliable ingestion pipelines usingSnowflake Openflow, Python, and Snowflake, including API, PostgreSQL, and CDC-based integrations.&lt;/li&gt;&lt;li&gt;Develop incremental synchronization, cursor/state management, retry logic, schema-drift handling, soft-delete propagation, and source-to-target reconciliation.&lt;/li&gt;&lt;li&gt;Transform raw source data through staging, intermediate, and core models into trusted datasets for analytics, reporting, and machine-learning workloads.&lt;/li&gt;&lt;li&gt;Apply data-quality checks for freshness, completeness, uniqueness, referential integrity, valid relationships, and business-rule compliance.&lt;/li&gt;&lt;li&gt;Maintain source definitions, model documentation, lineage, metadata, and data contracts.&lt;/li&gt;&lt;li&gt;Collaborate with data owners to ensure PII/PHI classification, masking, retention, and deletion requirements are implemented throughout the pipeline.&lt;br&gt;&lt;br&gt;&lt;/li&gt;&lt;/ul&gt;&lt;strong&gt;Model Development, Testing &amp;amp; Evaluation&lt;br&gt;&lt;br&gt;&lt;/strong&gt;&lt;ul&gt;&lt;li&gt;Implement monitoring and alerting for ingestion failures, pipeline freshness, schema changes, data-quality failures, transformation errors, model drift, and inference degradation.&lt;/li&gt;&lt;li&gt;Establish automated regression testing for dbt models, features, evaluation datasets, prompts, and model outputs.&lt;/li&gt;&lt;li&gt;Validate that sensitive data is appropriately masked, redacted, access-controlled, and excluded from unauthorized model training or data-sharing workflows.&lt;/li&gt;&lt;li&gt;Build safeguards for PII/PHI in recorded-call, transcript, and AI/ML processing pipelines, including verification that redaction and deletion workflows complete successfully.&lt;/li&gt;&lt;li&gt;Ensure AI/ML outputs are traceable to their source data, model or prompt version, feature set, and evaluation results.&lt;/li&gt;&lt;li&gt;Define recovery procedures, data-quality escalation paths, and operational runbooks for critical pipelines and models.&lt;/li&gt;&lt;li&gt;Support human review and approval for model outputs that may affect customers, interpreters, employees, financial activity, or service quality.&lt;br&gt;&lt;br&gt;&lt;/li&gt;&lt;/ul&gt;&lt;strong&gt;Feature Development &amp;amp; Integration&lt;br&gt;&lt;br&gt;&lt;/strong&gt;&lt;ul&gt;&lt;li&gt;Collaborate with Product and Engineering to ship AI-powered features into the GLOBO platform. &lt;/li&gt;&lt;li&gt;Build and deploy LLM integrations (AWS Bedrock, Anthropic Claude) and agentic workflows (CrewAI, LangChain). &lt;/li&gt;&lt;li&gt;Write production-quality code with proper tests, documentation, and error handling.&lt;br&gt;&lt;br&gt;&lt;/li&gt;&lt;/ul&gt;&lt;strong&gt;Reliability &amp;amp; Safety&lt;br&gt;&lt;br&gt;&lt;/strong&gt;&lt;ul&gt;&lt;li&gt;Implement guardrails, monitoring, and alerting for AI services in production. &lt;/li&gt;&lt;li&gt;Ensure AI outputs are consistent and trustworthy. &lt;/li&gt;&lt;li&gt;Contribute to evaluation datasets, prompt versioning, and regression testing for deployed models.&lt;br&gt;&lt;br&gt;&lt;/li&gt;&lt;/ul&gt;&lt;strong&gt;Performance &amp;amp; Cost Optimization&lt;br&gt;&lt;br&gt;&lt;/strong&gt;&lt;ul&gt;&lt;li&gt;Monitor and optimizeSnowflake compute, storage, query performance, dbt execution, Openflow runtime usage, and model-inference costs.&lt;/li&gt;&lt;li&gt;Design efficient incremental models, CDC pipelines, materializations, clustering strategies, and warehouse/task schedules.&lt;/li&gt;&lt;li&gt;Compare and optimize ingestion costs as Globo transitions from Fivetran to Snowflake Openflow.&lt;/li&gt;&lt;li&gt;Reduce unnecessary full refreshes, duplicate processing, excessive data movement, and inefficient feature recomputation.&lt;/li&gt;&lt;li&gt;Optimize model selection, prompt size, token usage, batching, caching, inference frequency, and routing between model providers.&lt;/li&gt;&lt;li&gt;Measure model performance against operational cost, latency, throughput, and data-freshness requirements.&lt;/li&gt;&lt;li&gt;Establish practical service-level targets for critical datasets, transformations, batch jobs, and model-serving workflows.&lt;br&gt;&lt;br&gt;&lt;/li&gt;&lt;/ul&gt;&lt;strong&gt;Requirements&lt;br&gt;&lt;br&gt;&lt;/strong&gt;&lt;strong&gt;Required Minimum Education and Experience&lt;/strong&gt;&lt;strong&gt;:&lt;br&gt;&lt;br&gt;&lt;/strong&gt;&lt;ul&gt;&lt;li&gt;Bachelor’s Degree in Computer Science, Data Science, Information Systems, or related field.&lt;/li&gt;&lt;li&gt;2+ years of experience in data engineering, software development, or ML engineering.&lt;/li&gt;&lt;li&gt;Experience with the below tech stack is required:&lt;/li&gt;&lt;ul&gt;&lt;li&gt;Python (advanced proficiency)&lt;/li&gt;&lt;li&gt;SQL (advanced proficiency)&lt;/li&gt;&lt;li&gt;LLM Integration (AWS Bedrock, Anthropic Claude, or OpenAI API)&lt;/li&gt;&lt;li&gt;dbt (data transformation and testing)&lt;/li&gt;&lt;li&gt;Snowflake (or similar cloud data warehouse)&lt;/li&gt;&lt;li&gt;AWS Lambda / Serverless architecture&lt;/li&gt;&lt;/ul&gt;&lt;li&gt;Experience with the below tech stack is preferred:&lt;/li&gt;&lt;ul&gt;&lt;li&gt;Fivetran (or similar ELT/ingestion tooling)&lt;/li&gt;&lt;li&gt;Agentic Frameworks (CrewAI, LangChain, or similar)&lt;/li&gt;&lt;li&gt;Airflow (or similar workflow orchestration)&lt;/li&gt;&lt;li&gt;Vector Databases (Pinecone, PGVector, or OpenSearch)&lt;/li&gt;&lt;li&gt;AWS ECS/EKS&lt;/li&gt;&lt;li&gt;CDK and CloudFormation for automated deployments&lt;/li&gt;&lt;li&gt;Ruby on Rails (ability to read/debug core platform code)&lt;/li&gt;&lt;li&gt;Redis&lt;/li&gt;&lt;li&gt;PostgreSQL&lt;/li&gt;&lt;li&gt;React&lt;/li&gt;&lt;/ul&gt;&lt;li&gt;Familiarity with model evaluation techniques, prompt engineering, and AI safety best practices.&lt;/li&gt;&lt;li&gt;Experience with Google Docs and Apple/Mac Operating System preferred&lt;br&gt;&lt;/li&gt;&lt;/ul&gt;&lt;strong&gt;Additional Preferred Requirements&lt;br&gt;&lt;br&gt;&lt;/strong&gt;&lt;ul&gt;&lt;li&gt;Ability to work independently in a decentralized environment without the reliance on direct authority&lt;/li&gt;&lt;li&gt;Highest level of personal and professional integrity and ethics&lt;/li&gt;&lt;li&gt;Broad understanding of current and emerging technology practices&lt;/li&gt;&lt;li&gt;High level of initiative, accountability, and follow-through&lt;/li&gt;&lt;li&gt;Value strong teamwork and collaboration skills&lt;/li&gt;&lt;li&gt;Demonstrated problem-solving and decision-making skills&lt;/li&gt;&lt;li&gt;Ability to manage multiple initiatives and projects and prioritize needs&lt;/li&gt;&lt;li&gt;Strong sense of service and passion for the company and business&lt;/li&gt;&lt;li&gt;Authorized to legally work for any employer in the United States&lt;/li&gt;&lt;li&gt;Willingness to submit to any requested background checks&lt;/li&gt;&lt;li&gt;Fluent in English&lt;br&gt;&lt;br&gt;&lt;/li&gt;&lt;/ul&gt;&lt;strong&gt;About GLOBO:&lt;/strong&gt;GLOBO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x:v>
      </x:c>
      <x:c r="AB167" s="68" t="str">
        <x:v>Description
About the Role:
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
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
Data Engineering &amp;amp; Pipeline Development
- Build and maintain reliable ingestion pipelines usingSnowflake Openflow, Python, and Snowflake, including API, PostgreSQL, and CDC-based integrations.
- Develop incremental synchronization, cursor/state management, retry logic, schema-drift handling, soft-delete propagation, and source-to-target reconciliation.
- Transform raw source data through staging, intermediate, and core models into trusted datasets for analytics, reporting, and machine-learning workloads.
- Apply data-quality checks for freshness, completeness, uniqueness, referential integrity, valid relationships, and business-rule compliance.
- Maintain source definitions, model documentation, lineage, metadata, and data contracts.
- Collaborate with data owners to ensure PII/PHI classification, masking, retention, and deletion requirements are implemented throughout the pipeline.
Model Development, Testing &amp;amp; Evaluation
- Implement monitoring and alerting for ingestion failures, pipeline freshness, schema changes, data-quality failures, transformation errors, model drift, and inference degradation.
- Establish automated regression testing for dbt models, features, evaluation datasets, prompts, and model outputs.
- Validate that sensitive data is appropriately masked, redacted, access-controlled, and excluded from unauthorized model training or data-sharing workflows.
- Build safeguards for PII/PHI in recorded-call, transcript, and AI/ML processing pipelines, including verification that redaction and deletion workflows complete successfully.
- Ensure AI/ML outputs are traceable to their source data, model or prompt version, feature set, and evaluation results.
- Define recovery procedures, data-quality escalation paths, and operational runbooks for critical pipelines and models.
- Support human review and approval for model outputs that may affect customers, interpreters, employees, financial activity, or service quality.
Feature Development &amp;amp; Integration
- Collaborate with Product and Engineering to ship AI-powered features into the GLOBO platform. 
- Build and deploy LLM integrations (AWS Bedrock, Anthropic Claude) and agentic workflows (CrewAI, LangChain). 
- Write production-quality code with proper tests, documentation, and error handling.
Reliability &amp;amp; Safety
- Implement guardrails, monitoring, and alerting for AI services in production. 
- Ensure AI outputs are consistent and trustworthy. 
- Contribute to evaluation datasets, prompt versioning, and regression testing for deployed models.
Performance &amp;amp; Cost Optimization
- Monitor and optimizeSnowflake compute, storage, query performance, dbt execution, Openflow runtime usage, and model-inference costs.
- Design efficient incremental models, CDC pipelines, materializations, clustering strategies, and warehouse/task schedules.
- Compare and optimize ingestion costs as Globo transitions from Fivetran to Snowflake Openflow.
- Reduce unnecessary full refreshes, duplicate processing, excessive data movement, and inefficient feature recomputation.
- Optimize model selection, prompt size, token usage, batching, caching, inference frequency, and routing between model providers.
- Measure model performance against operational cost, latency, throughput, and data-freshness requirements.
- Establish practical service-level targets for critical datasets, transformations, batch jobs, and model-serving workflows.
Requirements
Required Minimum Education and Experience:
- Bachelor’s Degree in Computer Science, Data Science, Information Systems, or related field.
- 2+ years of experience in data engineering, software development, or ML engineering.
- Experience with the below tech stack is required:
- Python (advanced proficiency)
- SQL (advanced proficiency)
- LLM Integration (AWS Bedrock, Anthropic Claude, or OpenAI API)
- dbt (data transformation and testing)
- Snowflake (or similar cloud data warehouse)
- AWS Lambda / Serverless architecture
- Experience with the below tech stack is preferred:
- Fivetran (or similar ELT/ingestion tooling)
- Agentic Frameworks (CrewAI, LangChain, or similar)
- Airflow (or similar workflow orchestration)
- Vector Databases (Pinecone, PGVector, or OpenSearch)
- AWS ECS/EKS
- CDK and CloudFormation for automated deployments
- Ruby on Rails (ability to read/debug core platform code)
- Redis
- PostgreSQL
- React
- Familiarity with model evaluation techniques, prompt engineering, and AI safety best practices.
- Experience with Google Docs and Apple/Mac Operating System preferred
Additional Preferred Requirements
- Ability to work independently in a decentralized environment without the reliance on direct authority
- Highest level of personal and professional integrity and ethics
- Broad understanding of current and emerging technology practices
- High level of initiative, accountability, and follow-through
- Value strong teamwork and collaboration skills
- Demonstrated problem-solving and decision-making skills
- Ability to manage multiple initiatives and projects and prioritize needs
- Strong sense of service and passion for the company and business
- Authorized to legally work for any employer in the United States
- Willingness to submit to any requested background checks
- Fluent in English
About GLOBO:GLOBO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x:v>
      </x:c>
      <x:c r="AC167" s="68" t="str">
        <x:v>Not Applicable</x:v>
      </x:c>
      <x:c r="AD167" s="68" t="str">
        <x:v>Full-time</x:v>
      </x:c>
      <x:c r="AE167" s="68" t="str">
        <x:v>Engineering and Information Technology</x:v>
      </x:c>
      <x:c r="AF167" s="68" t="str">
        <x:v>Translation and Localization</x:v>
      </x:c>
      <x:c r="AG167" s="68" t="str">
        <x:v>https://www.linkedin.com/jobs/search/?position=1&amp;pageNum=0&amp;keywords=AI+Engineer&amp;location=United+States&amp;distance=0&amp;f_TPR=r604800</x:v>
      </x:c>
      <x:c r="AH167" s="68" t="str">
        <x:v>{'type': 'PostalAddress', 'addressLocality': 'Greater Philadelphia', 'addressRegion': 'PA', 'addressCountry': 'US'}</x:v>
      </x:c>
      <x:c r="AI167" s="68" t="str">
        <x:v>http://www.helloglobo.com</x:v>
      </x:c>
      <x:c r="AJ167" s="68" t="str">
        <x:v>GLOBO Language Solutions</x:v>
      </x:c>
      <x:c r="AK167" s="68" t="str">
        <x:v>GLOBO is a technology-enabled patient communication company, giving organizations the ability to communicate in any language, 24/7 through one simple platform. We offer real-time data, analytics and insights to help our users achieve a greater understanding of their linguistically diverse customer bases.
GLOBO’s full range of services includes telephone interpreting, video remote interpreting, on-site interpreting, and our groundbreaking GLOBO KAI™ AI interpreter. We also offer translation and localization services. We specialize in providing language support for healthcare, courts, education, and government sectors.
Because we’re stronger when we can clearly communicate our needs.</x:v>
      </x:c>
      <x:c r="AL167" s="68" t="str">
        <x:v>3135.0</x:v>
      </x:c>
      <x:c r="AM167" s="68"/>
      <x:c r="AN167" s="68"/>
      <x:c r="AO167" s="68"/>
      <x:c r="AP167" s="68"/>
    </x:row>
    <x:row r="168" s="25" customFormat="1" ht="22" customHeight="1">
      <x:c r="A168" s="68" t="str">
        <x:v>4452171099</x:v>
      </x:c>
      <x:c r="B168" s="68" t="str">
        <x:v>Machine Learning Engineer</x:v>
      </x:c>
      <x:c r="C168" s="68" t="str">
        <x:v>HappyRobot</x:v>
      </x:c>
      <x:c r="D168" s="68" t="str">
        <x:v>San Francisco, CA</x:v>
      </x:c>
      <x:c r="E168" s="68" t="str">
        <x:v>Applied</x:v>
      </x:c>
      <x:c r="F168" s="68"/>
      <x:c r="G168" s="69"/>
      <x:c r="H168" s="85" t="str">
        <x:v>2026-08-11</x:v>
      </x:c>
      <x:c r="I168" s="85" t="str">
        <x:v>2026-08-12 13:18:49</x:v>
      </x:c>
      <x:c r="J168" s="68" t="str">
        <x:v>200</x:v>
      </x:c>
      <x:c r="K168" s="70"/>
      <x:c r="L168" s="86"/>
      <x:c r="M168" s="87"/>
      <x:c r="N168" s="71"/>
      <x:c r="O168" s="88"/>
      <x:c r="P168" s="89"/>
      <x:c r="Q168" s="89"/>
      <x:c r="R168" s="89"/>
      <x:c r="S168" s="73"/>
      <x:c r="T168" s="68"/>
      <x:c r="U168" s="68" t="str">
        <x:v>https://www.linkedin.com/jobs/view/machine-learning-engineer-at-happyrobot-4452171099?position=6&amp;pageNum=8&amp;refId=iJ7JllnznD4v9vYGfj%2FYiQ%3D%3D&amp;trackingId=6kr8BOiwrfurBmJJVS0tgw%3D%3D</x:v>
      </x:c>
      <x:c r="V168" s="68" t="str">
        <x:v>6kr8BOiwrfurBmJJVS0tgw==</x:v>
      </x:c>
      <x:c r="W168" s="68" t="str">
        <x:v>iJ7JllnznD4v9vYGfj/YiQ==</x:v>
      </x:c>
      <x:c r="X168" s="68" t="str">
        <x:v>https://www.linkedin.com/company/happyrobot?trk=public_jobs_jserp-result_job-search-card-subtitle</x:v>
      </x:c>
      <x:c r="Y168" s="68" t="str">
        <x:v>https://media.licdn.com/dms/image/v2/D4E0BAQHA7jbVAxkZXQ/company-logo_100_100/B4EZgXYt9RHIAQ-/0/1752739012753/happyrobot_logo?e=2147483647&amp;v=beta&amp;t=YWYpmny8MB1rI30LevYq33Zy6s7zfIbK-Hl_sq-W9ZU</x:v>
      </x:c>
      <x:c r="Z168" s="68"/>
      <x:c r="AA168" s="68" t="str">
        <x:v>&lt;strong&gt;&lt;strong&gt;About HappyRobot&lt;br&gt;&lt;br&gt;&lt;/strong&gt;&lt;/strong&gt;HappyRobot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worldwide.&lt;br&gt;&lt;br&gt;Our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manifesto.&lt;br&gt;&lt;br&gt;&lt;strong&gt;&lt;strong&gt;About The Role&lt;br&gt;&lt;br&gt;&lt;/strong&gt;&lt;/strong&gt;You’ll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innovation.&lt;br&gt;&lt;br&gt;&lt;strong&gt;&lt;strong&gt;&lt;strong&gt;About The Role&lt;br&gt;&lt;br&gt;&lt;/strong&gt;&lt;/strong&gt;&lt;/strong&gt;&lt;ul&gt;&lt;li&gt;Design, build, and maintain scalable ML systems — from data ingestion and preprocessing to training, testing, and deployment. &lt;/li&gt;&lt;li&gt;Develop and optimize end-to-end ML pipelines (data collection, labeling, training, validation, monitoring) to ensure reliability and reproducibility. &lt;/li&gt;&lt;li&gt;Implement robust MLOps practices, including model versioning, experiment tracking, CI/CD for ML, and continuous monitoring in production. &lt;/li&gt;&lt;li&gt;Collaborate with product and engineering teams to integrate and deploy models into real-time products with a focus on efficiency and scalability. &lt;/li&gt;&lt;li&gt;Ensure data quality, observability, and performance across all AI systems. &lt;/li&gt;&lt;li&gt;Stay current with the latest in AI infrastructure, tooling, and research — helping us stay ahead of the curve. &lt;br&gt;&lt;br&gt;&lt;/li&gt;&lt;/ul&gt;&lt;strong&gt;&lt;strong&gt;Must Have&lt;br&gt;&lt;br&gt;&lt;/strong&gt;&lt;/strong&gt;&lt;ul&gt;&lt;li&gt;Strong experience in machine learning, deep learning, and NLP. &lt;/li&gt;&lt;li&gt;Solid background in MLOps and data pipelines — e.g., model deployment, monitoring, and scaling in production environments. &lt;/li&gt;&lt;li&gt;Proficiency in Python and familiarity with Go. &lt;/li&gt;&lt;li&gt;Experience with ML lifecycle management tools (e.g., MLflow, Kubeflow, Weights &amp;amp; Biases). &lt;/li&gt;&lt;li&gt;Ability to design ML systems for robustness, scalability, and automation. &lt;/li&gt;&lt;li&gt;Strong coding, debugging, and data engineering skills. &lt;/li&gt;&lt;li&gt;Passion for AI infrastructure and its real-world impact. &lt;/li&gt;&lt;li&gt;Founder mindset: ownership, independence, and willingness to go deep. &lt;br&gt;&lt;br&gt;&lt;/li&gt;&lt;/ul&gt;&lt;strong&gt;&lt;strong&gt;Nice to Have&lt;br&gt;&lt;br&gt;&lt;/strong&gt;&lt;/strong&gt;&lt;ul&gt;&lt;li&gt;Experience in speech recognition, TTS, or audio processing. &lt;/li&gt;&lt;li&gt;Familiarity with LLMs, generative AI, or real-time inference systems. &lt;/li&gt;&lt;li&gt;Hands-on experience with data orchestration frameworks (e.g., Airflow, Prefect, Dagster). &lt;/li&gt;&lt;li&gt;Prior experience in startup environments with fast iteration cycles. &lt;/li&gt;&lt;li&gt;Knowledge of cloud infrastructure (AWS/GCP/Azure) and containerization tools (Docker, Kubernetes). &lt;br&gt;&lt;br&gt;&lt;/li&gt;&lt;/ul&gt;&lt;strong&gt;&lt;strong&gt;Why join us?&lt;br&gt;&lt;br&gt;&lt;/strong&gt;&lt;/strong&gt;&lt;ul&gt;&lt;li&gt;Opportunity to work at a high-growth AI startup, backed by top investors. &lt;/li&gt;&lt;li&gt;Rapidly growing and backed by top investors including a16z, Y Combinator, and Base10. &lt;/li&gt;&lt;li&gt;Ownership &amp;amp; Autonomy - Take full ownership of projects and ship fast. &lt;/li&gt;&lt;li&gt;Top-Tier Compensation - Competitive salary + equity in a high-growth startup. &lt;/li&gt;&lt;li&gt;Comprehensive Benefits - Healthcare, dental, vision coverage. &lt;/li&gt;&lt;li&gt;Work With the Best - Join a world-class team of engineers and builders&lt;br&gt;&lt;br&gt;&lt;/li&gt;&lt;/ul&gt;&lt;strong&gt;Our Operating Principles&lt;br&gt;&lt;br&gt;&lt;/strong&gt;&lt;em&gt;&lt;strong&gt;Extreme Ownership &lt;br&gt;&lt;br&gt;&lt;/strong&gt;&lt;/em&gt;We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us.&lt;br&gt;&lt;br&gt;&lt;em&gt;&lt;strong&gt;Craftsmanship &lt;br&gt;&lt;br&gt;&lt;/strong&gt;&lt;/em&gt;Putting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watching.&lt;br&gt;&lt;br&gt;&lt;em&gt;&lt;strong&gt;We are “majos”&lt;br&gt;&lt;br&gt;&lt;/strong&gt;&lt;/em&gt;Be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ego.&lt;br&gt;&lt;br&gt;&lt;em&gt;&lt;strong&gt;Urgency with Focus&lt;br&gt;&lt;br&gt;&lt;/strong&gt;&lt;/em&gt;Create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strategy.&lt;br&gt;&lt;br&gt;&lt;em&gt;&lt;strong&gt;Talent Density and Meritocracy&lt;br&gt;&lt;br&gt;&lt;/strong&gt;&lt;/em&gt;Hire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win.&lt;br&gt;&lt;br&gt;&lt;em&gt;&lt;strong&gt;First-Principles Thinking&lt;br&gt;&lt;br&gt;&lt;/strong&gt;&lt;/em&gt;Strip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impossible.&lt;br&gt;&lt;br&gt;&lt;em&gt;The personal data provided in your application and during the selection process will be processed by Happyrobot, Inc., acting as Data Controller.&lt;br&gt;&lt;br&gt;&lt;/em&gt;&lt;em&gt;By sending us your CV, you consent to the processing of your personal data for the purpose of evaluating and selecting you as a candidate for the position. Your personal data will be treated confidentially and will only be used for the recruitment process of the selected job offer.&lt;br&gt;&lt;br&gt;&lt;/em&gt;&lt;em&gt;In relation to the period of conservation of your personal data, these will be eliminated after three months of inactivity in compliance with the GDPR and legislation on the protection of personal data.&lt;br&gt;&lt;br&gt;&lt;/em&gt;&lt;em&gt;If you wish to exercise your rights of access, rectification, deletion, portability or opposition in relation to your personal data, you can do so through security@happyrobot.ai subject to the GDPR.&lt;br&gt;&lt;br&gt;&lt;/em&gt;&lt;em&gt;For more information, visit &lt;/em&gt;&lt;em&gt;https://www.happyrobot.ai/privacy-policy&lt;br&gt;&lt;br&gt;&lt;/em&gt;&lt;em&gt;By submitting your request, you confirm that you have read and understood this clause and that you agree to the processing of your personal data as described.&lt;br&gt;&lt;br&gt;&lt;/em&gt;</x:v>
      </x:c>
      <x:c r="AB168" s="68" t="str">
        <x:v>About HappyRobot
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
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
About The Role
- Design, build, and maintain scalable ML systems — from data ingestion and preprocessing to training, testing, and deployment. 
- Develop and optimize end-to-end ML pipelines (data collection, labeling, training, validation, monitoring) to ensure reliability and reproducibility. 
- Implement robust MLOps practices, including model versioning, experiment tracking, CI/CD for ML, and continuous monitoring in production. 
- Collaborate with product and engineering teams to integrate and deploy models into real-time products with a focus on efficiency and scalability. 
- Ensure data quality, observability, and performance across all AI systems. 
- Stay current with the latest in AI infrastructure, tooling, and research — helping us stay ahead of the curve. 
Must Have
- Strong experience in machine learning, deep learning, and NLP. 
- Solid background in MLOps and data pipelines — e.g., model deployment, monitoring, and scaling in production environments. 
- Proficiency in Python and familiarity with Go. 
- Experience with ML lifecycle management tools (e.g., MLflow, Kubeflow, Weights &amp;amp; Biases). 
- Ability to design ML systems for robustness, scalability, and automation. 
- Strong coding, debugging, and data engineering skills. 
- Passion for AI infrastructure and its real-world impact. 
- Founder mindset: ownership, independence, and willingness to go deep. 
Nice to Have
- Experience in speech recognition, TTS, or audio processing. 
- Familiarity with LLMs, generative AI, or real-time inference systems. 
- Hands-on experience with data orchestration frameworks (e.g., Airflow, Prefect, Dagster). 
- Prior experience in startup environments with fast iteration cycles. 
- Knowledge of cloud infrastructure (AWS/GCP/Azure) and containerization tools (Docker, Kubernetes). 
Why join us?
- Opportunity to work at a high-growth AI startup, backed by top investors. 
- Rapidly growing and backed by top investors including a16z, Y Combinator, and Base10. 
- Ownership &amp;amp;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
</x:v>
      </x:c>
      <x:c r="AC168" s="68" t="str">
        <x:v>Not Applicable</x:v>
      </x:c>
      <x:c r="AD168" s="68" t="str">
        <x:v>Full-time</x:v>
      </x:c>
      <x:c r="AE168" s="68" t="str">
        <x:v>Engineering and Information Technology</x:v>
      </x:c>
      <x:c r="AF168" s="68" t="str">
        <x:v>Software Development</x:v>
      </x:c>
      <x:c r="AG168" s="68" t="str">
        <x:v>https://www.linkedin.com/jobs/search/?position=1&amp;pageNum=0&amp;keywords=AI+Engineer&amp;location=United+States&amp;distance=0&amp;f_TPR=r604800</x:v>
      </x:c>
      <x:c r="AH168" s="68" t="str">
        <x:v>{'type': 'PostalAddress', 'addressLocality': 'San Francisco', 'addressRegion': 'California', 'postalCode': '94114', 'addressCountry': 'US'}</x:v>
      </x:c>
      <x:c r="AI168" s="68" t="str">
        <x:v>https://www.happyrobot.ai/</x:v>
      </x:c>
      <x:c r="AJ168" s="68" t="str">
        <x:v>Putting agents to work</x:v>
      </x:c>
      <x:c r="AK168" s="68" t="str">
        <x:v>HappyRobot helps enterprises like DHL &amp; Naturgy put agents to work in complex environments. Agents are autonomous AI workers capable of communication and coordination. To put them to work means deploying at scale across core business functions, from lead qualification to payment collection and service request to technician dispatch.
HappyRobot's platform captures context and gets smarter from every agent interaction, enabling enterprises to develop a highly competitive and differentiated operating system.
Go to https://www.happyrobot.ai/ and book a demo to talk to a HappyRobot AI agent!</x:v>
      </x:c>
      <x:c r="AL168" s="68" t="str">
        <x:v>213.0</x:v>
      </x:c>
      <x:c r="AM168" s="68"/>
      <x:c r="AN168" s="68"/>
      <x:c r="AO168" s="68"/>
      <x:c r="AP168" s="68"/>
    </x:row>
    <x:row r="169" s="25" customFormat="1" ht="22" customHeight="1">
      <x:c r="A169" s="68" t="str">
        <x:v>4413142120</x:v>
      </x:c>
      <x:c r="B169" s="68" t="str">
        <x:v>AI Engineer</x:v>
      </x:c>
      <x:c r="C169" s="68" t="str">
        <x:v>ARCO a Family of Construction Companies</x:v>
      </x:c>
      <x:c r="D169" s="68" t="str">
        <x:v>Chicago, IL</x:v>
      </x:c>
      <x:c r="E169" s="68" t="str">
        <x:v>Requires CAPTCHA</x:v>
      </x:c>
      <x:c r="F169" s="68"/>
      <x:c r="G169" s="69"/>
      <x:c r="H169" s="85" t="str">
        <x:v>2026-08-12</x:v>
      </x:c>
      <x:c r="I169" s="85" t="str">
        <x:v>2026-08-12 13:18:49</x:v>
      </x:c>
      <x:c r="J169" s="68" t="str">
        <x:v>200</x:v>
      </x:c>
      <x:c r="K169" s="70"/>
      <x:c r="L169" s="86"/>
      <x:c r="M169" s="87"/>
      <x:c r="N169" s="71"/>
      <x:c r="O169" s="88"/>
      <x:c r="P169" s="89"/>
      <x:c r="Q169" s="89"/>
      <x:c r="R169" s="89"/>
      <x:c r="S169" s="73"/>
      <x:c r="T169" s="68"/>
      <x:c r="U169" s="68" t="str">
        <x:v>https://www.linkedin.com/jobs/view/ai-engineer-at-arco-a-family-of-construction-companies-4413142120?position=10&amp;pageNum=8&amp;refId=iJ7JllnznD4v9vYGfj%2FYiQ%3D%3D&amp;trackingId=X3McVQqAu2%2Bx96cHLpnn5Q%3D%3D</x:v>
      </x:c>
      <x:c r="V169" s="68" t="str">
        <x:v>X3McVQqAu2+x96cHLpnn5Q==</x:v>
      </x:c>
      <x:c r="W169" s="68" t="str">
        <x:v>iJ7JllnznD4v9vYGfj/YiQ==</x:v>
      </x:c>
      <x:c r="X169" s="68" t="str">
        <x:v>https://www.linkedin.com/company/thearcoway?trk=public_jobs_jserp-result_job-search-card-subtitle</x:v>
      </x:c>
      <x:c r="Y169" s="68" t="str">
        <x:v>https://media.licdn.com/dms/image/v2/C4E0BAQEhDxD-Gh1g6Q/company-logo_100_100/company-logo_100_100/0/1630613104341/thearcoway_logo?e=2147483647&amp;v=beta&amp;t=5zAQbbU4UAElK7yeMsQ6NI85AnT7xSqybbbuaiEgYuU</x:v>
      </x:c>
      <x:c r="Z169" s="68"/>
      <x:c r="AA169" s="68" t="str">
        <x:v>&lt;strong&gt;ABOUT YOU&lt;br&gt;&lt;br&gt;&lt;/strong&gt;Are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Companies.&lt;br&gt;&lt;br&gt;We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business.&lt;br&gt;&lt;br&gt;&lt;strong&gt;WHAT WE CAN OFFER YOU&lt;br&gt;&lt;br&gt;&lt;/strong&gt;We are dedicated to the well-being of our associates and are proud to be consistently recognized as a Best Place to Work. Our compensation and benefits package not only supports our associates and their families but benefits local communities and communities around the world.&lt;br&gt;&lt;br&gt;&lt;ul&gt;&lt;li&gt;Industry-leading performance-based bonus program&lt;/li&gt;&lt;li&gt;ESOP&lt;/li&gt;&lt;li&gt;Traditional and Roth 401k&lt;/li&gt;&lt;li&gt;Tuition reimbursement for associates&lt;/li&gt;&lt;li&gt;Scholarship for associates’ children up to $28,000 per child&lt;/li&gt;&lt;li&gt;1-month paid sabbatical after every five years of employment, plus $5,000 for travel&lt;/li&gt;&lt;li&gt;1-week paid volunteer leave each year&lt;/li&gt;&lt;li&gt;100% charitable match&lt;/li&gt;&lt;li&gt;Medical, dental, and vision insurance coverage &lt;/li&gt;&lt;li&gt;100% paid 12-week maternity leave&lt;br&gt;&lt;br&gt;&lt;/li&gt;&lt;/ul&gt;At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employment.&lt;br&gt;&lt;br&gt;From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services.&lt;br&gt;&lt;br&gt;&lt;strong&gt;A DAY IN THE LIFE&lt;br&gt;&lt;br&gt;&lt;/strong&gt;&lt;ul&gt;&lt;li&gt;Design, build, and deploy AI-driven applications and services&lt;/li&gt;&lt;li&gt;Develop generative AI solutions using large language models (LLMs) via Azure OpenAI Service&lt;/li&gt;&lt;li&gt;Implement use cases such as chatbots, copilots, document summarization, knowledge search, and workflow automation&lt;/li&gt;&lt;li&gt;Apply prompt engineering, grounding, and retrieval-augmented generation (RAG) techniques&lt;/li&gt;&lt;li&gt;Evaluate LLM outputs for accuracy, safety, and performance&lt;/li&gt;&lt;li&gt;Build, train, and evaluate models using Azure Machine Learning&lt;/li&gt;&lt;li&gt;Work with structured and unstructured data to support AI and LLM-based solutions&lt;/li&gt;&lt;li&gt;Perform data preprocessing, feature engineering, and model tuning&lt;/li&gt;&lt;li&gt;Manage model lifecycle, versioning, and prompt iteration strategies&lt;/li&gt;&lt;li&gt;Monitor model and LLM performance, usage, and cost; optimize as needed&lt;/li&gt;&lt;li&gt;Implement CI/CD pipelines using Azure DevOps or GitHub&lt;/li&gt;&lt;li&gt;Document models, prompts, and system architecture clearly&lt;/li&gt;&lt;li&gt;Translate business needs into scalable technical solutions&lt;/li&gt;&lt;li&gt;Work with cross-functional teams to identify AI and LLM opportunities&lt;/li&gt;&lt;li&gt;Deploy and manage AI/LLM solutions in Azure environments&lt;/li&gt;&lt;li&gt;Build scalable applications using Azure Functions, Azure App Service, or containers&lt;/li&gt;&lt;li&gt;Integrate AI capabilities into enterprise systems and Microsoft tools (e.g., Teams, SharePoint, Power Platform)&lt;/li&gt;&lt;li&gt;Develop backend services and APIs to support AI/LLM applications&lt;br&gt;&lt;br&gt;&lt;/li&gt;&lt;/ul&gt;&lt;strong&gt;NECESSARY QUALIFICATIONS&lt;br&gt;&lt;br&gt;&lt;/strong&gt;&lt;ul&gt;&lt;li&gt;Bachelor’s degree in Computer Science, Engineering, or related field&lt;/li&gt;&lt;li&gt;2-5+ years of experience in software development, AI, or machine learning&lt;/li&gt;&lt;li&gt;Strong programming skills in Python / Microsoft full-stack development&lt;/li&gt;&lt;li&gt;Experience building APIs and backend services&lt;/li&gt;&lt;li&gt;Hands-on experience or strong familiarity with large language models (LLMs) and generative AI concepts&lt;/li&gt;&lt;li&gt;Experience working in a cloud environment (Azure preferred)&lt;/li&gt;&lt;li&gt;Experience building applications using Azure OpenAI Service&lt;/li&gt;&lt;li&gt;Knowledge of LLM techniques such as prompt engineering, RAG, embeddings, and vector search (e.g., Azure AI Search)&lt;/li&gt;&lt;li&gt;Experience integrating AI into Microsoft ecosystem tools (Teams, SharePoint, Power Platform)&lt;/li&gt;&lt;li&gt;Familiarity with containerization (Docker) and orchestration (Kubernetes)&lt;/li&gt;&lt;li&gt;Experience with secure, enterprise-grade AI deployment&lt;br&gt;&lt;br&gt;&lt;/li&gt;&lt;/ul&gt;&lt;strong&gt;MAKE YOUR MOVE &lt;br&gt;&lt;br&gt;&lt;/strong&gt;We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you.&lt;br&gt;&lt;br&gt;&lt;em&gt;ARCO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managers.&lt;br&gt;&lt;br&gt;&lt;/em&gt;&lt;strong&gt;LEGAL DISCLAIMER &lt;br&gt;&lt;br&gt;&lt;/strong&gt;EOE, including disability/vets&lt;br&gt;&lt;br&gt;</x:v>
      </x:c>
      <x:c r="AB169" s="68" t="str">
        <x:v>ABOUT YOU
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
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A DAY IN THE LIFE
- Design, build, and deploy AI-driven applications and services
- Develop generative AI solutions using large language models (LLMs) via Azure OpenAI Service
- Implement use cases such as chatbots, copilots, document summarization, knowledge search, and workflow automation
- Apply prompt engineering, grounding, and retrieval-augmented generation (RAG) techniques
- Evaluate LLM outputs for accuracy, safety, and performance
- Build, train, and evaluate models using Azure Machine Learning
- Work with structured and unstructured data to support AI and LLM-based solutions
- Perform data preprocessing, feature engineering, and model tuning
- Manage model lifecycle, versioning, and prompt iteration strategies
- Monitor model and LLM performance, usage, and cost; optimize as needed
- Implement CI/CD pipelines using Azure DevOps or GitHub
- Document models, prompts, and system architecture clearly
- Translate business needs into scalable technical solutions
- Work with cross-functional teams to identify AI and LLM opportunities
- Deploy and manage AI/LLM solutions in Azure environments
- Build scalable applications using Azure Functions, Azure App Service, or containers
- Integrate AI capabilities into enterprise systems and Microsoft tools (e.g., Teams, SharePoint, Power Platform)
- Develop backend services and APIs to support AI/LLM applications
NECESSARY QUALIFICATIONS
- Bachelor’s degree in Computer Science, Engineering, or related field
- 2-5+ years of experience in software development, AI, or machine learning
- Strong programming skills in Python / Microsoft full-stack development
- Experience building APIs and backend services
- Hands-on experience or strong familiarity with large language models (LLMs) and generative AI concepts
- Experience working in a cloud environment (Azure preferred)
- Experience building applications using Azure OpenAI Service
- Knowledge of LLM techniques such as prompt engineering, RAG, embeddings, and vector search (e.g., Azure AI Search)
- Experience integrating AI into Microsoft ecosystem tools (Teams, SharePoint, Power Platform)
- Familiarity with containerization (Docker) and orchestration (Kubernetes)
- Experience with secure, enterprise-grade AI deployment
MAKE YOUR MOVE 
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
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
LEGAL DISCLAIMER 
EOE, including disability/vets
</x:v>
      </x:c>
      <x:c r="AC169" s="68" t="str">
        <x:v>Not Applicable</x:v>
      </x:c>
      <x:c r="AD169" s="68" t="str">
        <x:v>Full-time</x:v>
      </x:c>
      <x:c r="AE169" s="68" t="str">
        <x:v>Engineering and Information Technology</x:v>
      </x:c>
      <x:c r="AF169" s="68" t="str">
        <x:v>Construction</x:v>
      </x:c>
      <x:c r="AG169" s="68" t="str">
        <x:v>https://www.linkedin.com/jobs/search/?position=1&amp;pageNum=0&amp;keywords=AI+Engineer&amp;location=United+States&amp;distance=0&amp;f_TPR=r604800</x:v>
      </x:c>
      <x:c r="AH169" s="68" t="str">
        <x:v>{'type': 'PostalAddress', 'streetAddress': '9494 Manchester Rd', 'addressLocality': 'St. Louis', 'addressRegion': 'Missouri', 'postalCode': '63119', 'addressCountry': 'US'}</x:v>
      </x:c>
      <x:c r="AI169" s="68" t="str">
        <x:v>https://thearcoway.com/</x:v>
      </x:c>
      <x:c r="AJ169" s="68"/>
      <x:c r="AK169" s="68" t="str">
        <x:v>ARCO's goal is the same today as it was when we founded the company 30 years ago – to be the best design-build contractor in the industry and to serve our clients with expert skill and high integrity. We make the construction process enjoyable and beneficial for our associates and customers.
Our first core value is to "treat people fairly and do the right thing." We are committed to building and sustaining a culture that supports diversity and inclusion. From recruiting, training, and hiring practices, to the selection of our subcontractors, we understand that the diversity of all those involved in the construction process enhances our ability to deliver the best solutions to our customers.
</x:v>
      </x:c>
      <x:c r="AL169" s="68" t="str">
        <x:v>192.0</x:v>
      </x:c>
      <x:c r="AM169" s="68"/>
      <x:c r="AN169" s="68"/>
      <x:c r="AO169" s="68"/>
      <x:c r="AP169" s="68"/>
    </x:row>
    <x:row r="170" s="25" customFormat="1" ht="22" customHeight="1">
      <x:c r="A170" s="68" t="str">
        <x:v>4450330556</x:v>
      </x:c>
      <x:c r="B170" s="68" t="str">
        <x:v>Artificial Intelligence Engineer</x:v>
      </x:c>
      <x:c r="C170" s="68" t="str">
        <x:v>Systems Integration Solutions</x:v>
      </x:c>
      <x:c r="D170" s="68" t="str">
        <x:v>Austin, TX</x:v>
      </x:c>
      <x:c r="E170" s="68" t="str">
        <x:v>Applied</x:v>
      </x:c>
      <x:c r="F170" s="68"/>
      <x:c r="G170" s="69"/>
      <x:c r="H170" s="85" t="str">
        <x:v>2026-08-07</x:v>
      </x:c>
      <x:c r="I170" s="85" t="str">
        <x:v>2026-08-12 13:18:49</x:v>
      </x:c>
      <x:c r="J170" s="68" t="str">
        <x:v>200</x:v>
      </x:c>
      <x:c r="K170" s="70" t="str">
        <x:v>$50.00/hr - $53.00/hr</x:v>
      </x:c>
      <x:c r="L170" s="86"/>
      <x:c r="M170" s="87"/>
      <x:c r="N170" s="71"/>
      <x:c r="O170" s="88"/>
      <x:c r="P170" s="89"/>
      <x:c r="Q170" s="89"/>
      <x:c r="R170" s="89"/>
      <x:c r="S170" s="73"/>
      <x:c r="T170" s="68"/>
      <x:c r="U170" s="68" t="str">
        <x:v>https://www.linkedin.com/jobs/view/artificial-intelligence-engineer-at-systems-integration-solutions-4450330556?position=4&amp;pageNum=8&amp;refId=iJ7JllnznD4v9vYGfj%2FYiQ%3D%3D&amp;trackingId=esT%2FjN0qjlOJK0%2B7PyqFAw%3D%3D</x:v>
      </x:c>
      <x:c r="V170" s="68" t="str">
        <x:v>esT/jN0qjlOJK0+7PyqFAw==</x:v>
      </x:c>
      <x:c r="W170" s="68" t="str">
        <x:v>iJ7JllnznD4v9vYGfj/YiQ==</x:v>
      </x:c>
      <x:c r="X170" s="68" t="str">
        <x:v>https://www.linkedin.com/company/systems-integration-solutions?trk=public_jobs_jserp-result_job-search-card-subtitle</x:v>
      </x:c>
      <x:c r="Y170" s="68" t="str">
        <x:v>https://media.licdn.com/dms/image/v2/C4E0BAQFArfJGQ10Ntg/company-logo_100_100/company-logo_100_100/0/1631319526359?e=2147483647&amp;v=beta&amp;t=4k8lz4Hs05V8Lsd5a0czgOeQn7sx0rzet9Fm6M3JQnU</x:v>
      </x:c>
      <x:c r="Z170" s="68"/>
      <x:c r="AA170" s="68" t="str">
        <x:v>&lt;p&gt;AI Engineer&lt;/p&gt;&lt;p&gt;&lt;strong&gt;Location:&lt;/strong&gt; Austin, TX (Onsite)&lt;/p&gt;&lt;p&gt;Position Summary&lt;/p&gt;&lt;p&gt;We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frameworks.&lt;/p&gt;&lt;p&gt;The ideal candidate will have hands-on experience developing AI-powered applications using Python and Java, experience working with MongoDB, and an eagerness to learn and build next-generation AI solutions in a collaborative environment.&lt;/p&gt;&lt;p&gt;Responsibilities&lt;/p&gt;&lt;ul&gt;&lt;li&gt;Design, develop, and maintain AI-powered applications using Python and Java.&lt;/li&gt;&lt;li&gt;Build and enhance solutions leveraging Large Language Models (LLMs) and Agentic AI frameworks.&lt;/li&gt;&lt;li&gt;Develop AI workflows, automation solutions, and intelligent agents.&lt;/li&gt;&lt;li&gt;Integrate AI capabilities with backend systems, APIs, and databases.&lt;/li&gt;&lt;li&gt;Work with MongoDB to design and manage application data.&lt;/li&gt;&lt;li&gt;Collaborate with cross-functional engineering teams to deliver scalable AI solutions.&lt;/li&gt;&lt;li&gt;Troubleshoot, debug, and optimize AI applications for performance and reliability.&lt;/li&gt;&lt;li&gt;Stay current with emerging AI technologies, tools, and best practices.&lt;/li&gt;&lt;/ul&gt;&lt;p&gt;Required Qualifications&lt;/p&gt;&lt;ul&gt;&lt;li&gt;Bachelor's degree in Computer Science, Software Engineering, Artificial Intelligence, or a related field (or equivalent experience).&lt;/li&gt;&lt;li&gt;Experience developing applications using &lt;strong&gt;Python&lt;/strong&gt;.&lt;/li&gt;&lt;li&gt;Working knowledge of &lt;strong&gt;Java&lt;/strong&gt;.&lt;/li&gt;&lt;li&gt;Experience working with &lt;strong&gt;MongoDB&lt;/strong&gt; or other NoSQL databases.&lt;/li&gt;&lt;li&gt;Hands-on experience with &lt;strong&gt;Large Language Models (LLMs)&lt;/strong&gt;.&lt;/li&gt;&lt;li&gt;Exposure to &lt;strong&gt;Agentic AI&lt;/strong&gt; concepts, frameworks, or AI agents.&lt;/li&gt;&lt;li&gt;Strong analytical thinking and problem-solving abilities.&lt;/li&gt;&lt;li&gt;Excellent debugging and troubleshooting skills.&lt;/li&gt;&lt;li&gt;Strong communication and collaboration skills.&lt;/li&gt;&lt;/ul&gt;&lt;p&gt;Preferred Qualifications&lt;/p&gt;&lt;ul&gt;&lt;li&gt;Experience with prompt engineering and Retrieval-Augmented Generation (RAG).&lt;/li&gt;&lt;li&gt;Exposure to frameworks such as LangChain, LangGraph, LlamaIndex, or similar.&lt;/li&gt;&lt;li&gt;Familiarity with REST APIs and microservices.&lt;/li&gt;&lt;li&gt;Experience with Git and modern software development practices.&lt;/li&gt;&lt;li&gt;Knowledge of cloud platforms (AWS, Azure, or GCP) is a plus.&lt;/li&gt;&lt;li&gt;Experience with Docker or containerized applications is a plus.&lt;/li&gt;&lt;/ul&gt;&lt;p&gt;Desired Skills&lt;/p&gt;&lt;ul&gt;&lt;li&gt;Python&lt;/li&gt;&lt;li&gt;Java&lt;/li&gt;&lt;li&gt;MongoDB&lt;/li&gt;&lt;li&gt;Large Language Models (LLMs)&lt;/li&gt;&lt;li&gt;Agentic AI&lt;/li&gt;&lt;li&gt;REST APIs&lt;/li&gt;&lt;li&gt;Git&lt;/li&gt;&lt;li&gt;Problem Solving&lt;/li&gt;&lt;li&gt;Software Engineering Fundamentals&lt;/li&gt;&lt;/ul&gt;&lt;p&gt;&lt;br&gt;&lt;/p&gt;</x:v>
      </x:c>
      <x:c r="AB170" s="68" t="str">
        <x:v>
AI Engineer
Location: Austin, TX (Onsite)
Position Summary
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
The ideal candidate will have hands-on experience developing AI-powered applications using Python and Java, experience working with MongoDB, and an eagerness to learn and build next-generation AI solutions in a collaborative environment.
Responsibilities
- Design, develop, and maintain AI-powered applications using Python and Java.
- Build and enhance solutions leveraging Large Language Models (LLMs) and Agentic AI frameworks.
- Develop AI workflows, automation solutions, and intelligent agents.
- Integrate AI capabilities with backend systems, APIs, and databases.
- Work with MongoDB to design and manage application data.
- Collaborate with cross-functional engineering teams to deliver scalable AI solutions.
- Troubleshoot, debug, and optimize AI applications for performance and reliability.
- Stay current with emerging AI technologies, tools, and best practices.
Required Qualifications
- Bachelor's degree in Computer Science, Software Engineering, Artificial Intelligence, or a related field (or equivalent experience).
- Experience developing applications using Python.
- Working knowledge of Java.
- Experience working with MongoDB or other NoSQL databases.
- Hands-on experience with Large Language Models (LLMs).
- Exposure to Agentic AI concepts, frameworks, or AI agents.
- Strong analytical thinking and problem-solving abilities.
- Excellent debugging and troubleshooting skills.
- Strong communication and collaboration skills.
Preferred Qualifications
- Experience with prompt engineering and Retrieval-Augmented Generation (RAG).
- Exposure to frameworks such as LangChain, LangGraph, LlamaIndex, or similar.
- Familiarity with REST APIs and microservices.
- Experience with Git and modern software development practices.
- Knowledge of cloud platforms (AWS, Azure, or GCP) is a plus.
- Experience with Docker or containerized applications is a plus.
Desired Skills
- Python
- Java
- MongoDB
- Large Language Models (LLMs)
- Agentic AI
- REST APIs
- Git
- Problem Solving
- Software Engineering Fundamentals
</x:v>
      </x:c>
      <x:c r="AC170" s="68" t="str">
        <x:v>Associate</x:v>
      </x:c>
      <x:c r="AD170" s="68" t="str">
        <x:v>Full-time</x:v>
      </x:c>
      <x:c r="AE170" s="68" t="str">
        <x:v>Information Technology</x:v>
      </x:c>
      <x:c r="AF170" s="68" t="str">
        <x:v>Staffing and Recruiting</x:v>
      </x:c>
      <x:c r="AG170" s="68" t="str">
        <x:v>https://www.linkedin.com/jobs/search/?position=1&amp;pageNum=0&amp;keywords=AI+Engineer&amp;location=United+States&amp;distance=0&amp;f_TPR=r604800</x:v>
      </x:c>
      <x:c r="AH170" s="68" t="str">
        <x:v>{'type': 'PostalAddress', 'streetAddress': '5000 Executive Parkway, Suite #450', 'addressLocality': 'San Ramon', 'addressRegion': 'California', 'postalCode': '94583', 'addressCountry': 'US'}</x:v>
      </x:c>
      <x:c r="AI170" s="68" t="str">
        <x:v>http://www.sisinc.com</x:v>
      </x:c>
      <x:c r="AJ170" s="68"/>
      <x:c r="AK170" s="68" t="str">
        <x:v>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x:v>
      </x:c>
      <x:c r="AL170" s="68" t="str">
        <x:v>70.0</x:v>
      </x:c>
      <x:c r="AM170" s="68" t="str">
        <x:v>K. Celeste M.</x:v>
      </x:c>
      <x:c r="AN170" s="68"/>
      <x:c r="AO170" s="68" t="str">
        <x:v>https://media.licdn.com/dms/image/v2/D5603AQEt6rOLAxHwAA/profile-displayphoto-scale_400_400/B56Z5mT.imHwAk-/0/1779832976116?e=2147483647&amp;v=beta&amp;t=JtL7qLrB-NR2CJfFDf4Sh8Z6lBtmLBVwWzPrkFmzR8k</x:v>
      </x:c>
      <x:c r="AP170" s="68" t="str">
        <x:v>https://www.linkedin.com/in/k-celeste-m-080bb750</x:v>
      </x:c>
    </x:row>
    <x:row r="171" s="25" customFormat="1" ht="22" customHeight="1">
      <x:c r="A171" s="68" t="str">
        <x:v>4281817025</x:v>
      </x:c>
      <x:c r="B171" s="68" t="str">
        <x:v>AI/ML Engineer</x:v>
      </x:c>
      <x:c r="C171" s="68" t="str">
        <x:v>Savant Bio</x:v>
      </x:c>
      <x:c r="D171" s="68" t="str">
        <x:v>New York, NY</x:v>
      </x:c>
      <x:c r="E171" s="68" t="str">
        <x:v>Applied</x:v>
      </x:c>
      <x:c r="F171" s="68"/>
      <x:c r="G171" s="69"/>
      <x:c r="H171" s="85" t="str">
        <x:v>2026-08-12</x:v>
      </x:c>
      <x:c r="I171" s="85" t="str">
        <x:v>2026-08-12 13:18:49</x:v>
      </x:c>
      <x:c r="J171" s="68" t="str">
        <x:v>200</x:v>
      </x:c>
      <x:c r="K171" s="70"/>
      <x:c r="L171" s="86"/>
      <x:c r="M171" s="87"/>
      <x:c r="N171" s="71"/>
      <x:c r="O171" s="88"/>
      <x:c r="P171" s="89"/>
      <x:c r="Q171" s="89"/>
      <x:c r="R171" s="89"/>
      <x:c r="S171" s="73"/>
      <x:c r="T171" s="68"/>
      <x:c r="U171" s="68" t="str">
        <x:v>https://www.linkedin.com/jobs/view/ai-ml-engineer-at-savant-bio-4281817025?position=5&amp;pageNum=8&amp;refId=iJ7JllnznD4v9vYGfj%2FYiQ%3D%3D&amp;trackingId=XQ%2FeXfgS0gL9pSQFdLhl6Q%3D%3D</x:v>
      </x:c>
      <x:c r="V171" s="68" t="str">
        <x:v>XQ/eXfgS0gL9pSQFdLhl6Q==</x:v>
      </x:c>
      <x:c r="W171" s="68" t="str">
        <x:v>iJ7JllnznD4v9vYGfj/YiQ==</x:v>
      </x:c>
      <x:c r="X171" s="68" t="str">
        <x:v>https://www.linkedin.com/company/savant-bio?trk=public_jobs_jserp-result_job-search-card-subtitle</x:v>
      </x:c>
      <x:c r="Y171" s="68" t="str">
        <x:v>https://media.licdn.com/dms/image/v2/D4E0BAQH1r1ZMThqK5g/company-logo_100_100/B4EZVNonVnHUAQ-/0/1740764247787?e=2147483647&amp;v=beta&amp;t=nNGiDU6tpsDrpZFFzlpzAHVDtqwaUI47mevzyTi8jxY</x:v>
      </x:c>
      <x:c r="Z171" s="68"/>
      <x:c r="AA171" s="68" t="str">
        <x:v>&lt;strong&gt;About Us: &lt;/strong&gt;Savant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innovation.&lt;br&gt;&lt;br&gt;&lt;strong&gt;The Opportunity: &lt;/strong&gt;We’re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you.&lt;br&gt;&lt;br&gt;&lt;strong&gt;Some Things You Might Work On&lt;br&gt;&lt;br&gt;&lt;/strong&gt;&lt;ul&gt;&lt;li&gt;Design and build robust ML pipelines to apply LLMs and other models to unstructured clinical text&lt;/li&gt;&lt;li&gt;Develop and optimize systems for information extraction, entity resolution, data normalization, and QA&lt;/li&gt;&lt;li&gt;Build and scale infrastructure for running model inference across large datasets&lt;/li&gt;&lt;li&gt;Prototype, evaluate, and refine prompt strategies, model configurations, and workflows&lt;/li&gt;&lt;li&gt;Implement internal tools for monitoring, observability, and iterative model improvement&lt;/li&gt;&lt;li&gt;Translate research prototypes into reliable, testable, and maintainable production code&lt;/li&gt;&lt;li&gt;Collaborate cross-functionally with clinical experts and product leads to embed domain knowledge into model workflows&lt;br&gt;&lt;br&gt;&lt;/li&gt;&lt;/ul&gt;&lt;strong&gt;What We're Looking For&lt;br&gt;&lt;br&gt;&lt;/strong&gt;&lt;ul&gt;&lt;li&gt;3+ years of hands-on experience building and deploying ML/AI systems&lt;/li&gt;&lt;li&gt;Strong Python development skills, including experience with production-quality ML codebases&lt;/li&gt;&lt;li&gt;Familiarity with modern ML/NLP frameworks (e.g., PyTorch, Hugging Face, spaCy)&lt;/li&gt;&lt;li&gt;Experience working with large-scale unstructured or semi-structured data&lt;/li&gt;&lt;li&gt;Practical knowledge of LLMs: prompt engineering, evaluation, fine-tuning, observability&lt;/li&gt;&lt;li&gt;Comfort working in fast-paced, ambiguous environments where iteration is key&lt;/li&gt;&lt;li&gt;Clear communicator with a collaborative mindset&lt;br&gt;&lt;br&gt;&lt;/li&gt;&lt;/ul&gt;&lt;strong&gt;Bonus Points For&lt;br&gt;&lt;br&gt;&lt;/strong&gt;&lt;ul&gt;&lt;li&gt;Experience working with clinical or healthcare data (EMRs, registries, imaging, labs, etc.)&lt;/li&gt;&lt;li&gt;Familiarity with model evaluation tooling, quality benchmarking, and drift detection&lt;/li&gt;&lt;li&gt;Exposure to data privacy or compliance frameworks (HIPAA, de-ID workflows, etc.)&lt;/li&gt;&lt;li&gt;Experience in an early-stage startup or small, fast-moving technical team&lt;br&gt;&lt;br&gt;&lt;/li&gt;&lt;/ul&gt;&lt;strong&gt;Why Join Us&lt;br&gt;&lt;br&gt;&lt;/strong&gt;&lt;ul&gt;&lt;li&gt;Full-Stack AI Impact: Contribute across the ML lifecycle, from data to deployment&lt;/li&gt;&lt;li&gt;Product-Embedded Work: Your contributions will ship as part of a real product, not just R&amp;amp;D&lt;/li&gt;&lt;li&gt;Tight Collaboration: Work directly with cross-functional partners across clinical, product, and engineering&lt;/li&gt;&lt;li&gt;Mission-Driven: Help unlock better healthcare by solving foundational data problems&lt;br&gt;&lt;br&gt;&lt;/li&gt;&lt;/ul&gt;Base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conditions.&lt;br&gt;&lt;br&gt;Base salary if hired is only part of the total compensation package, which, depending on the position, may also include other components such as discretionary bonuses and Company-sponsored benefit programs.&lt;br&gt;&lt;br&gt;This position is at-will and Savant reserves the right to modify base salary (as well as any other discretionary payment or compensation program) at any time, including for reasons related to individual performance and business and market conditions.&lt;br&gt;&lt;br&gt;Savant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v>
      </x:c>
      <x:c r="AB171" s="68" t="str">
        <x:v>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 Design and build robust ML pipelines to apply LLMs and other models to unstructured clinical text
- Develop and optimize systems for information extraction, entity resolution, data normalization, and QA
- Build and scale infrastructure for running model inference across large datasets
- Prototype, evaluate, and refine prompt strategies, model configurations, and workflows
- Implement internal tools for monitoring, observability, and iterative model improvement
- Translate research prototypes into reliable, testable, and maintainable production code
- Collaborate cross-functionally with clinical experts and product leads to embed domain knowledge into model workflows
What We're Looking For
- 3+ years of hands-on experience building and deploying ML/AI systems
- Strong Python development skills, including experience with production-quality ML codebases
- Familiarity with modern ML/NLP frameworks (e.g., PyTorch, Hugging Face, spaCy)
- Experience working with large-scale unstructured or semi-structured data
- Practical knowledge of LLMs: prompt engineering, evaluation, fine-tuning, observability
- Comfort working in fast-paced, ambiguous environments where iteration is key
- Clear communicator with a collaborative mindset
Bonus Points For
- Experience working with clinical or healthcare data (EMRs, registries, imaging, labs, etc.)
- Familiarity with model evaluation tooling, quality benchmarking, and drift detection
- Exposure to data privacy or compliance frameworks (HIPAA, de-ID workflows, etc.)
- Experience in an early-stage startup or small, fast-moving technical team
Why Join Us
- Full-Stack AI Impact: Contribute across the ML lifecycle, from data to deployment
- Product-Embedded Work: Your contributions will ship as part of a real product, not just R&amp;amp;D
- Tight Collaboration: Work directly with cross-functional partners across clinical, product, and engineering
- Mission-Driven: Help unlock better healthcare by solving foundational data problems
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
Base salary if hired is only part of the total compensation package, which, depending on the position, may also include other components such as discretionary bonuses and Company-sponsored benefit programs.
This position is at-will and Savant reserves the right to modify base salary (as well as any other discretionary payment or compensation program) at any time, including for reasons related to individual performance and business and market conditions.
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v>
      </x:c>
      <x:c r="AC171" s="68" t="str">
        <x:v>Not Applicable</x:v>
      </x:c>
      <x:c r="AD171" s="68" t="str">
        <x:v>Full-time</x:v>
      </x:c>
      <x:c r="AE171" s="68" t="str">
        <x:v>Engineering and Information Technology</x:v>
      </x:c>
      <x:c r="AF171" s="68" t="str">
        <x:v>Data Infrastructure and Analytics</x:v>
      </x:c>
      <x:c r="AG171" s="68" t="str">
        <x:v>https://www.linkedin.com/jobs/search/?position=1&amp;pageNum=0&amp;keywords=AI+Engineer&amp;location=United+States&amp;distance=0&amp;f_TPR=r604800</x:v>
      </x:c>
      <x:c r="AH171" s="68" t="str">
        <x:v>{'type': 'PostalAddress', 'streetAddress': '151 W 42nd St', 'addressLocality': 'New York', 'addressRegion': 'NY', 'postalCode': '10036', 'addressCountry': 'US'}</x:v>
      </x:c>
      <x:c r="AI171" s="68" t="str">
        <x:v>https://www.savantbio.com/</x:v>
      </x:c>
      <x:c r="AJ171" s="68" t="str">
        <x:v>Transforming medical data into actionable insights</x:v>
      </x:c>
      <x:c r="AK171" s="68" t="str">
        <x:v>The leading AI platform for transforming medical data into actionable insights</x:v>
      </x:c>
      <x:c r="AL171" s="68" t="str">
        <x:v>6.0</x:v>
      </x:c>
      <x:c r="AM171" s="68"/>
      <x:c r="AN171" s="68"/>
      <x:c r="AO171" s="68"/>
      <x:c r="AP171" s="68"/>
    </x:row>
    <x:row r="172" s="25" customFormat="1" ht="22" customHeight="1">
      <x:c r="A172" s="68" t="str">
        <x:v>4402997955</x:v>
      </x:c>
      <x:c r="B172" s="68" t="str">
        <x:v>Machine Learning Engineer</x:v>
      </x:c>
      <x:c r="C172" s="68" t="str">
        <x:v>Reducto</x:v>
      </x:c>
      <x:c r="D172" s="68" t="str">
        <x:v>San Francisco, CA</x:v>
      </x:c>
      <x:c r="E172" s="68" t="str">
        <x:v>Applied</x:v>
      </x:c>
      <x:c r="F172" s="68"/>
      <x:c r="G172" s="69"/>
      <x:c r="H172" s="85" t="str">
        <x:v>2026-08-05</x:v>
      </x:c>
      <x:c r="I172" s="85" t="str">
        <x:v>2026-08-12 13:18:49</x:v>
      </x:c>
      <x:c r="J172" s="68" t="str">
        <x:v>200</x:v>
      </x:c>
      <x:c r="K172" s="70"/>
      <x:c r="L172" s="86"/>
      <x:c r="M172" s="87"/>
      <x:c r="N172" s="71"/>
      <x:c r="O172" s="88"/>
      <x:c r="P172" s="89"/>
      <x:c r="Q172" s="89"/>
      <x:c r="R172" s="89"/>
      <x:c r="S172" s="73"/>
      <x:c r="T172" s="68"/>
      <x:c r="U172" s="68" t="str">
        <x:v>https://www.linkedin.com/jobs/view/machine-learning-engineer-at-reducto-4402997955?position=10&amp;pageNum=9&amp;refId=wWuvrZI7qtoor%2BT5ED9n0g%3D%3D&amp;trackingId=sevhFrLurCCRUJP1MjJDSQ%3D%3D</x:v>
      </x:c>
      <x:c r="V172" s="68" t="str">
        <x:v>sevhFrLurCCRUJP1MjJDSQ==</x:v>
      </x:c>
      <x:c r="W172" s="68" t="str">
        <x:v>wWuvrZI7qtoor+T5ED9n0g==</x:v>
      </x:c>
      <x:c r="X172" s="68" t="str">
        <x:v>https://www.linkedin.com/company/reducto-ai?trk=public_jobs_jserp-result_job-search-card-subtitle</x:v>
      </x:c>
      <x:c r="Y172" s="68" t="str">
        <x:v>https://media.licdn.com/dms/image/v2/D560BAQFZoOWJowCHYA/company-logo_100_100/B56ZxDfMe1GYAQ-/0/1770658777356/reducto_ai_logo?e=2147483647&amp;v=beta&amp;t=0-pyaP6FXofBK_HhQvwo71bSQj54SFxXUpPU0Cqqrc8</x:v>
      </x:c>
      <x:c r="Z172" s="68"/>
      <x:c r="AA172" s="68" t="str">
        <x:v>&lt;strong&gt;About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Capital.&lt;br&gt;&lt;br&gt;&lt;strong&gt;&lt;strong&gt;We Would Love To Meet You If You:&lt;br&gt;&lt;br&gt;&lt;/strong&gt;&lt;/strong&gt;&lt;ul&gt;&lt;li&gt;Philosophy: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with training, fine tuning, and evaluating ML models used in production systems&lt;/li&gt;&lt;li&gt;Language/Skills: You’re exceptional at Python or similar, and are well versed with both traditional computer vision and VLMs&lt;/li&gt;&lt;li&gt;Tools: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Include:&lt;br&gt;&lt;br&gt;&lt;/strong&gt;&lt;ul&gt;&lt;li&gt;Training and deploying new state of the art models for parsing and interpreting unstructured data&lt;/li&gt;&lt;li&gt;Experimenting with novel techniques to improve LLM accuracy&lt;/li&gt;&lt;li&gt;Build data pipelines, evaluate model performance, and integrate models into the product&lt;/li&gt;&lt;li&gt;Working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with.&lt;br&gt;&lt;br&gt;&lt;strong&gt;Reducto&lt;/strong&gt;&lt;strong&gt; Breaks Document Layouts Into Subsections And Then Contextually Parses Each Depending On The Type Of Content.&lt;/strong&gt;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v>
      </x:c>
      <x:c r="AB172" s="68" t="str">
        <x:v>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with training, fine tuning, and evaluating ML models used in production systems
- Language/Skills: You’re exceptional at Python or similar, and are well versed with both traditional computer vision and VLMs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Training and deploying new state of the art models for parsing and interpreting unstructured data
- Experimenting with novel techniques to improve LLM accuracy
- Build data pipelines, evaluate model performance, and integrate models into the product
- Working directly with the founders and customers to shape the product direction and engineering strategy
Bonus Points If You:
- Have prior experience founding a company or building products at early stages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v>
      </x:c>
      <x:c r="AC172" s="68" t="str">
        <x:v>Not Applicable</x:v>
      </x:c>
      <x:c r="AD172" s="68" t="str">
        <x:v>Full-time</x:v>
      </x:c>
      <x:c r="AE172" s="68" t="str">
        <x:v>Engineering and Information Technology</x:v>
      </x:c>
      <x:c r="AF172" s="68" t="str">
        <x:v>Software Development</x:v>
      </x:c>
      <x:c r="AG172" s="68" t="str">
        <x:v>https://www.linkedin.com/jobs/search/?position=1&amp;pageNum=0&amp;keywords=AI+Engineer&amp;location=United+States&amp;distance=0&amp;f_TPR=r604800</x:v>
      </x:c>
      <x:c r="AH172" s="68" t="str">
        <x:v>{'type': 'PostalAddress', 'addressLocality': 'San Francisco', 'addressRegion': 'CA', 'addressCountry': 'US'}</x:v>
      </x:c>
      <x:c r="AI172" s="68" t="str">
        <x:v>http://reducto.ai/?utm_source=linkedin&amp;utm_medium=company</x:v>
      </x:c>
      <x:c r="AJ172" s="68" t="str">
        <x:v>The complete agentic document platform for leading AI teams needing performance at enterprise scale.</x:v>
      </x:c>
      <x:c r="AK172" s="68" t="str">
        <x:v>Reducto is the complete agentic document platform for leading AI teams needing performance at enterprise scale. 
We provide a comprehensive toolkit for working with documents the way a human would, combining custom in-house and leading frontier models to power efficient and accurate document workflows.
We currently power the best AI teams ranging from startups to Fortune 10 companies across all industries: legal, finance, healthcare, and more. We are built for enterprise workloads with flexible deployment options from the cloud to fully air-gapped environments, SOC II and HIPAA compliance, and zero data retention. </x:v>
      </x:c>
      <x:c r="AL172" s="68" t="str">
        <x:v>85.0</x:v>
      </x:c>
      <x:c r="AM172" s="68"/>
      <x:c r="AN172" s="68"/>
      <x:c r="AO172" s="68"/>
      <x:c r="AP172" s="68"/>
    </x:row>
    <x:row r="173" s="25" customFormat="1" ht="22" customHeight="1">
      <x:c r="A173" s="68" t="str">
        <x:v>4404854685</x:v>
      </x:c>
      <x:c r="B173" s="68" t="str">
        <x:v>AI Engineer</x:v>
      </x:c>
      <x:c r="C173" s="68" t="str">
        <x:v>NetBrain Technologies Inc.</x:v>
      </x:c>
      <x:c r="D173" s="68" t="str">
        <x:v>Burlington, MA</x:v>
      </x:c>
      <x:c r="E173" s="68" t="str">
        <x:v>Applied</x:v>
      </x:c>
      <x:c r="F173" s="68"/>
      <x:c r="G173" s="69"/>
      <x:c r="H173" s="85" t="str">
        <x:v>2026-08-07</x:v>
      </x:c>
      <x:c r="I173" s="85" t="str">
        <x:v>2026-08-12 13:18:49</x:v>
      </x:c>
      <x:c r="J173" s="68" t="str">
        <x:v>200</x:v>
      </x:c>
      <x:c r="K173" s="70"/>
      <x:c r="L173" s="86"/>
      <x:c r="M173" s="87"/>
      <x:c r="N173" s="71"/>
      <x:c r="O173" s="88"/>
      <x:c r="P173" s="89"/>
      <x:c r="Q173" s="89"/>
      <x:c r="R173" s="89"/>
      <x:c r="S173" s="73"/>
      <x:c r="T173" s="68"/>
      <x:c r="U173" s="68" t="str">
        <x:v>https://www.linkedin.com/jobs/view/ai-engineer-at-netbrain-technologies-inc-4404854685?position=2&amp;pageNum=8&amp;refId=iJ7JllnznD4v9vYGfj%2FYiQ%3D%3D&amp;trackingId=BJSXP8oQ7bGSEOdvkMZ7Dg%3D%3D</x:v>
      </x:c>
      <x:c r="V173" s="68" t="str">
        <x:v>BJSXP8oQ7bGSEOdvkMZ7Dg==</x:v>
      </x:c>
      <x:c r="W173" s="68" t="str">
        <x:v>iJ7JllnznD4v9vYGfj/YiQ==</x:v>
      </x:c>
      <x:c r="X173" s="68" t="str">
        <x:v>https://www.linkedin.com/company/netbraintech?trk=public_jobs_jserp-result_job-search-card-subtitle</x:v>
      </x:c>
      <x:c r="Y173" s="68" t="str">
        <x:v>https://media.licdn.com/dms/image/v2/D560BAQGyxdenb1rghQ/company-logo_100_100/B56Z5z0XofGkAI-/0/1780059569889/netbraintech_logo?e=2147483647&amp;v=beta&amp;t=E8OPKhBgN_qT7jZiri1BpczhYI2KXR3aczLYVHLotv0</x:v>
      </x:c>
      <x:c r="Z173" s="68"/>
      <x:c r="AA173" s="68" t="str">
        <x:v>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platform.&lt;br&gt;&lt;br&gt;&lt;em&gt;&lt;strong&gt;What We Need&lt;br&gt;&lt;br&gt;&lt;/strong&gt;&lt;/em&gt;We’re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impact.&lt;br&gt;&lt;br&gt;&lt;em&gt;&lt;strong&gt;What You'll Do&lt;br&gt;&lt;br&gt;&lt;/strong&gt;&lt;/em&gt;Agent Platform &amp;amp; Architecture&lt;br&gt;&lt;br&gt;&lt;ul&gt;&lt;li&gt;Design and build core agent platform capabilities, including orchestration patterns (e.g., ReAct, Plan-and-Execute), tool execution layers, memory/context management, and guardrails&lt;/li&gt;&lt;li&gt;Develop reusable agent skills and a standardized tool ecosystem aligned with platform conventions&lt;/li&gt;&lt;li&gt;Implement enterprise-grade controls for agent execution, including human-in-the-loop workflows, permissioning, and policy enforcement&lt;br&gt;&lt;br&gt;&lt;/li&gt;&lt;/ul&gt;Retrieval &amp;amp; AI Systems&lt;br&gt;&lt;br&gt;&lt;ul&gt;&lt;li&gt;Design and implement RAG services, including hybrid retrieval, reranking, embeddings, and citation behavior&lt;/li&gt;&lt;li&gt;Define evaluation frameworks and quality metrics to ensure grounded, reliable outputs&lt;br&gt;&lt;br&gt;&lt;/li&gt;&lt;/ul&gt;Production Engineering &amp;amp; Reliability&lt;br&gt;&lt;br&gt;&lt;ul&gt;&lt;li&gt;Build automated evaluation and regression pipelines to maintain quality at scale&lt;/li&gt;&lt;li&gt;Establish observability (tracing, metrics, alerting) and optimize systems for latency, throughput, and cost&lt;/li&gt;&lt;li&gt;Define best practices and incident response processes to ensure production readiness&lt;br&gt;&lt;br&gt;&lt;/li&gt;&lt;/ul&gt;Applied Research &amp;amp; Technical Strategy&lt;br&gt;&lt;br&gt;&lt;ul&gt;&lt;li&gt;Prototype and productionize emerging approaches (e.g., GraphRAG, knowledge graphs, MCP integrations)&lt;/li&gt;&lt;li&gt;Evaluate AI frameworks and infrastructure (e.g., LangChain, LangGraph, AutoGen, LlamaIndex) and guide platform decisions&lt;br&gt;&lt;br&gt;&lt;/li&gt;&lt;/ul&gt;Technical Execution&lt;br&gt;&lt;br&gt;&lt;ul&gt;&lt;li&gt;Diagnose and resolve complex AI system issues (retrieval quality, hallucinations, prompt regressions, agent failures)&lt;/li&gt;&lt;li&gt;Lead system design and drive technical decisions through hands-on prototyping and benchmarking&lt;br&gt;&lt;br&gt;&lt;/li&gt;&lt;/ul&gt;&lt;em&gt;&lt;strong&gt;What You Bring&lt;br&gt;&lt;br&gt;&lt;/strong&gt;&lt;/em&gt;&lt;ul&gt;&lt;li&gt;BS in Computer Science, AI, Electrical Engineering, or related field (advanced degree preferred or equivalent experience)&lt;/li&gt;&lt;li&gt;5+ years of software engineering experience, including building and deploying production-grade LLM, agent, or RAG systems&lt;/li&gt;&lt;li&gt;Proven track record of shipping and supporting AI-powered features in production&lt;/li&gt;&lt;li&gt;Strong Python skills (API design, testing, error handling, environment management)&lt;/li&gt;&lt;li&gt;Working proficiency in C# or C++&lt;/li&gt;&lt;li&gt;Deep understanding of RAG system design and evaluation methodologies&lt;/li&gt;&lt;li&gt;Experience building evaluation frameworks (test sets, metrics, regression pipelines)&lt;/li&gt;&lt;li&gt;Understanding of LLM security risks (prompt injection, data leakage, agent misuse)&lt;/li&gt;&lt;li&gt;Experience with graph databases, knowledge graphs, or GraphRAG preferred&lt;/li&gt;&lt;li&gt;Experience designing human-in-the-loop systems and execution controls preferred&lt;/li&gt;&lt;li&gt;Experience with agent frameworks (e.g., LangChain, LangGraph, AutoGen, LlamaIndex)&lt;/li&gt;&lt;li&gt;You are able and willing to commute to our Burlington, MA headquarters twice a week on a hybrid schedule&lt;/li&gt;&lt;li&gt;Manual Dexterity: Repetitive motion of wrists, hands and fingers for using a computer.&lt;/li&gt;&lt;li&gt;Stationary Tasks: Sitting for extended periods, remaining in a stationary position.&lt;br&gt;&lt;br&gt;&lt;/li&gt;&lt;/ul&gt;&lt;strong&gt;What We Offer&lt;br&gt;&lt;br&gt;&lt;/strong&gt;Our comprehensive compensation package is vital in how we recognize our people for the impact they make on us reaching our goals as a company.&lt;br&gt;&lt;br&gt;For this role, the estimated base is $150,000 - $180,000 + Bonus. The actual salary may vary based on a range of factors, including market and individual qualifications objectively assessed during the interview process.&lt;br&gt;&lt;br&gt;The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philosophy.&lt;br&gt;&lt;br&gt;NetBrain invites all interested and qualified candidates to apply for employment opportunities.&lt;br&gt;&lt;br&gt;Qualified applicants will receive consideration for employment without regard to race, color, religion, sex, national origin, disability, protected veteran status, or other characteristics protected by law.&lt;br&gt;&lt;br&gt;If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you.&lt;br&gt;&lt;br&gt;In compliance with applicable laws, NetBrain conducts holistic, individual background reviews in support of all hiring decisions.&lt;br&gt;&lt;br&gt;It is unlawful in Massachusetts to require or administer a lie detector test as a condition of employment or continued employment. An employer who violates this law shall be subject to criminal penalties and civil liability.</x:v>
      </x:c>
      <x:c r="AB173" s="68" t="str">
        <x:v>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
What You'll Do
Agent Platform &amp;amp; Architecture
- Design and build core agent platform capabilities, including orchestration patterns (e.g., ReAct, Plan-and-Execute), tool execution layers, memory/context management, and guardrails
- Develop reusable agent skills and a standardized tool ecosystem aligned with platform conventions
- Implement enterprise-grade controls for agent execution, including human-in-the-loop workflows, permissioning, and policy enforcement
Retrieval &amp;amp; AI Systems
- Design and implement RAG services, including hybrid retrieval, reranking, embeddings, and citation behavior
- Define evaluation frameworks and quality metrics to ensure grounded, reliable outputs
Production Engineering &amp;amp; Reliability
- Build automated evaluation and regression pipelines to maintain quality at scale
- Establish observability (tracing, metrics, alerting) and optimize systems for latency, throughput, and cost
- Define best practices and incident response processes to ensure production readiness
Applied Research &amp;amp; Technical Strategy
- Prototype and productionize emerging approaches (e.g., GraphRAG, knowledge graphs, MCP integrations)
- Evaluate AI frameworks and infrastructure (e.g., LangChain, LangGraph, AutoGen, LlamaIndex) and guide platform decisions
Technical Execution
- Diagnose and resolve complex AI system issues (retrieval quality, hallucinations, prompt regressions, agent failures)
- Lead system design and drive technical decisions through hands-on prototyping and benchmarking
What You Bring
- BS in Computer Science, AI, Electrical Engineering, or related field (advanced degree preferred or equivalent experience)
- 5+ years of software engineering experience, including building and deploying production-grade LLM, agent, or RAG systems
- Proven track record of shipping and supporting AI-powered features in production
- Strong Python skills (API design, testing, error handling, environment management)
- Working proficiency in C# or C++
- Deep understanding of RAG system design and evaluation methodologies
- Experience building evaluation frameworks (test sets, metrics, regression pipelines)
- Understanding of LLM security risks (prompt injection, data leakage, agent misuse)
- Experience with graph databases, knowledge graphs, or GraphRAG preferred
- Experience designing human-in-the-loop systems and execution controls preferred
- Experience with agent frameworks (e.g., LangChain, LangGraph, AutoGen, LlamaIndex)
- You are able and willing to commute to our Burlington, MA headquarters twice a week on a hybrid schedule
- Manual Dexterity: Repetitive motion of wrists, hands and fingers for using a computer.
- Stationary Tasks: Sitting for extended periods, remaining in a stationary position.
What We Offer
Our comprehensive compensation package is vital in how we recognize our people for the impact they make on us reaching our goals as a company.
For this role, the estimated base is $150,000 - $180,000 + Bonus. The actual salary may vary based on a range of factors, including market and individual qualifications objectively assessed during the interview process.
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
NetBrain invites all interested and qualified candidates to apply for employment opportunities.
Qualified applicants will receive consideration for employment without regard to race, color, religion, sex, national origin, disability, protected veteran status, or other characteristics protected by law.
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
In compliance with applicable laws, NetBrain conducts holistic, individual background reviews in support of all hiring decisions.
It is unlawful in Massachusetts to require or administer a lie detector test as a condition of employment or continued employment. An employer who violates this law shall be subject to criminal penalties and civil liability.</x:v>
      </x:c>
      <x:c r="AC173" s="68" t="str">
        <x:v>Not Applicable</x:v>
      </x:c>
      <x:c r="AD173" s="68" t="str">
        <x:v>Full-time</x:v>
      </x:c>
      <x:c r="AE173" s="68" t="str">
        <x:v>Engineering and Information Technology</x:v>
      </x:c>
      <x:c r="AF173" s="68" t="str">
        <x:v>Software Development</x:v>
      </x:c>
      <x:c r="AG173" s="68" t="str">
        <x:v>https://www.linkedin.com/jobs/search/?position=1&amp;pageNum=0&amp;keywords=AI+Engineer&amp;location=United+States&amp;distance=0&amp;f_TPR=r604800</x:v>
      </x:c>
      <x:c r="AH173" s="68" t="str">
        <x:v>{'type': 'PostalAddress', 'streetAddress': '15 Blue Sky Drive', 'addressLocality': 'Burlington', 'addressRegion': 'Massachusetts', 'postalCode': '01803', 'addressCountry': 'US'}</x:v>
      </x:c>
      <x:c r="AI173" s="68" t="str">
        <x:v>https://www.netbrain.com/</x:v>
      </x:c>
      <x:c r="AJ173" s="68" t="str">
        <x:v>Chart your path to Agentic NetOps</x:v>
      </x:c>
      <x:c r="AK173" s="68" t="str">
        <x:v>NetBrain pioneers Agentic NetOps, delivering autonomous network operations through AI agents that diagnose, decide, and act with full network context. NetBrain serves approximately one third of the Fortune 100 and Fortune 500 across the most complex enterprise networks in the world, with offices in Boston, London, Munich, Hyderabad, Beijing, and Toronto.</x:v>
      </x:c>
      <x:c r="AL173" s="68" t="str">
        <x:v>453.0</x:v>
      </x:c>
      <x:c r="AM173" s="68"/>
      <x:c r="AN173" s="68"/>
      <x:c r="AO173" s="68"/>
      <x:c r="AP173" s="68"/>
    </x:row>
    <x:row r="174" s="25" customFormat="1" ht="22" customHeight="1">
      <x:c r="A174" s="68" t="str">
        <x:v>4453111231</x:v>
      </x:c>
      <x:c r="B174" s="68" t="str">
        <x:v>AI/ML Engineer</x:v>
      </x:c>
      <x:c r="C174" s="68" t="str">
        <x:v>ArbWick</x:v>
      </x:c>
      <x:c r="D174" s="68" t="str">
        <x:v>United States</x:v>
      </x:c>
      <x:c r="E174" s="68" t="str">
        <x:v>Applied</x:v>
      </x:c>
      <x:c r="F174" s="68"/>
      <x:c r="G174" s="69"/>
      <x:c r="H174" s="85" t="str">
        <x:v>2026-08-12</x:v>
      </x:c>
      <x:c r="I174" s="85" t="str">
        <x:v>2026-08-12 13:18:49</x:v>
      </x:c>
      <x:c r="J174" s="68" t="str">
        <x:v>199</x:v>
      </x:c>
      <x:c r="K174" s="70"/>
      <x:c r="L174" s="86"/>
      <x:c r="M174" s="87"/>
      <x:c r="N174" s="71"/>
      <x:c r="O174" s="88"/>
      <x:c r="P174" s="89"/>
      <x:c r="Q174" s="89"/>
      <x:c r="R174" s="89"/>
      <x:c r="S174" s="73"/>
      <x:c r="T174" s="68"/>
      <x:c r="U174" s="68" t="str">
        <x:v>https://www.linkedin.com/jobs/view/ai-ml-engineer-at-arbwick-4453111231?position=6&amp;pageNum=9&amp;refId=wWuvrZI7qtoor%2BT5ED9n0g%3D%3D&amp;trackingId=5NUzeVpfAs3qrXytsON8zw%3D%3D</x:v>
      </x:c>
      <x:c r="V174" s="68" t="str">
        <x:v>5NUzeVpfAs3qrXytsON8zw==</x:v>
      </x:c>
      <x:c r="W174" s="68" t="str">
        <x:v>wWuvrZI7qtoor+T5ED9n0g==</x:v>
      </x:c>
      <x:c r="X174" s="68" t="str">
        <x:v>https://www.linkedin.com/company/arbwick?trk=public_jobs_jserp-result_job-search-card-subtitle</x:v>
      </x:c>
      <x:c r="Y174" s="68" t="str">
        <x:v>https://media.licdn.com/dms/image/v2/D560BAQF4U6s45spuHA/company-logo_100_100/B56Z6pSv_GKcAM-/0/1780956725501/arbwick_logo?e=2147483647&amp;v=beta&amp;t=O0DyUrtlgxOY2RTAHe_cDl-sO876YGDJ0-sch96s0d8</x:v>
      </x:c>
      <x:c r="Z174" s="68"/>
      <x:c r="AA174" s="68" t="str">
        <x:v>&lt;p&gt;&lt;strong&gt;About Us&lt;/strong&gt;&lt;/p&gt;&lt;p&gt;We're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features.&lt;/p&gt;&lt;p&gt;&lt;br&gt;&lt;/p&gt;&lt;p&gt;&lt;strong&gt;About the Role&lt;/strong&gt;&lt;/p&gt;&lt;p&gt;We’re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workflows.&lt;/p&gt;&lt;p&gt;&lt;br&gt;&lt;/p&gt;&lt;p&gt;We need someone who is eager to learn, moves fast, and can own extremely complex problems end-to-end in a fast-paced environment. You will start with high-impact optimizations and quickly move into designing sophisticated features that haven't even been fully conceptualized yet.&lt;/p&gt;&lt;p&gt;&lt;br&gt;&lt;/p&gt;&lt;p&gt;&lt;strong&gt;What You Will Do&lt;/strong&gt;&lt;/p&gt;&lt;p&gt;AI Engine Optimization: Drastically improve the performance, speed, and efficiency of our core AI components. You will own and optimize our intent classification pipelines and ensure lightning-fast LLM interactions.&lt;/p&gt;&lt;p&gt;&lt;br&gt;&lt;/p&gt;&lt;p&gt;Custom Agentic Workflows: Design, build, and deploy custom, user-specific agentic workflows. You will tie these agents deeply into our skills backend and our frontend agent interfaces to create highly personalized user experiences.&lt;/p&gt;&lt;p&gt;&lt;br&gt;&lt;/p&gt;&lt;p&gt;Advanced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mathematics.&lt;/p&gt;&lt;p&gt;&lt;br&gt;&lt;/p&gt;&lt;p&gt;End-to-End Ownership: Take AI features from concept to production, working closely with our full-stack team to ensure robust integration into our core platform.&lt;/p&gt;&lt;p&gt;What We Are Looking For&lt;/p&gt;&lt;p&gt;&lt;br&gt;&lt;/p&gt;&lt;p&gt;Experience: Proven track record as an AI/ML Engineer in production environments, with a strong, demonstrable focus on LLMs and generative AI.&lt;/p&gt;&lt;p&gt;&lt;br&gt;&lt;/p&gt;&lt;p&gt;AI/LLM Expertise: Deep, hands-on understanding of RAG architectures, prompt engineering, fine-tuning, embedding models, agent frameworks, and LLM optimization techniques.&lt;/p&gt;&lt;p&gt;&lt;br&gt;&lt;/p&gt;&lt;p&gt;Backend Proficiency: Strong experience coding in Python. Deep knowledge of FastAPI is a massive plus to integrate smoothly with our backend stack.&lt;/p&gt;&lt;p&gt;&lt;br&gt;&lt;/p&gt;&lt;p&gt;Startup Mentality: You have a history of delivering complex features in startups. You are exceptionally eager to learn, capable of moving extremely fast, and comfortable with high autonomy.&lt;/p&gt;&lt;p&gt;&lt;br&gt;&lt;/p&gt;&lt;p&gt;Systems Thinking: Ability to design scalable AI pipelines and integrate complex ML models into consumer-facing applications.&lt;/p&gt;&lt;p&gt;&lt;br&gt;&lt;/p&gt;&lt;p&gt;Domain Adaptability: Comfortable working with complex data structures, financial documents, and highly technical or mathematical text.&lt;/p&gt;&lt;p&gt;&lt;br&gt;&lt;/p&gt;</x:v>
      </x:c>
      <x:c r="AB174" s="68" t="str">
        <x:v>
About Us
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
About the Role
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
We need someone who is eager to learn, moves fast, and can own extremely complex problems end-to-end in a fast-paced environment. You will start with high-impact optimizations and quickly move into designing sophisticated features that haven't even been fully conceptualized yet.
What You Will Do
AI Engine Optimization: Drastically improve the performance, speed, and efficiency of our core AI components. You will own and optimize our intent classification pipelines and ensure lightning-fast LLM interactions.
Custom Agentic Workflows: Design, build, and deploy custom, user-specific agentic workflows. You will tie these agents deeply into our skills backend and our frontend agent interfaces to create highly personalized user experiences.
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
End-to-End Ownership: Take AI features from concept to production, working closely with our full-stack team to ensure robust integration into our core platform.
What We Are Looking For
Experience: Proven track record as an AI/ML Engineer in production environments, with a strong, demonstrable focus on LLMs and generative AI.
AI/LLM Expertise: Deep, hands-on understanding of RAG architectures, prompt engineering, fine-tuning, embedding models, agent frameworks, and LLM optimization techniques.
Backend Proficiency: Strong experience coding in Python. Deep knowledge of FastAPI is a massive plus to integrate smoothly with our backend stack.
Startup Mentality: You have a history of delivering complex features in startups. You are exceptionally eager to learn, capable of moving extremely fast, and comfortable with high autonomy.
Systems Thinking: Ability to design scalable AI pipelines and integrate complex ML models into consumer-facing applications.
Domain Adaptability: Comfortable working with complex data structures, financial documents, and highly technical or mathematical text.
</x:v>
      </x:c>
      <x:c r="AC174" s="68" t="str">
        <x:v>Entry level</x:v>
      </x:c>
      <x:c r="AD174" s="68" t="str">
        <x:v>Full-time</x:v>
      </x:c>
      <x:c r="AE174" s="68" t="str">
        <x:v>Engineering and Information Technology</x:v>
      </x:c>
      <x:c r="AF174" s="68" t="str">
        <x:v>Artificial Intelligence</x:v>
      </x:c>
      <x:c r="AG174" s="68" t="str">
        <x:v>https://www.linkedin.com/jobs/search/?position=1&amp;pageNum=0&amp;keywords=AI+Engineer&amp;location=United+States&amp;distance=0&amp;f_TPR=r604800</x:v>
      </x:c>
      <x:c r="AH174" s="68" t="str">
        <x:v>{'type': 'PostalAddress', 'addressLocality': 'Los Angeles', 'addressCountry': 'US'}</x:v>
      </x:c>
      <x:c r="AI174" s="68" t="str">
        <x:v>www.arbwick.com</x:v>
      </x:c>
      <x:c r="AJ174" s="68" t="str">
        <x:v>ArbWick is the judgment economy.</x:v>
      </x:c>
      <x:c r="AK174" s="68"/>
      <x:c r="AL174" s="68" t="str">
        <x:v>2.0</x:v>
      </x:c>
      <x:c r="AM174" s="68"/>
      <x:c r="AN174" s="68"/>
      <x:c r="AO174" s="68"/>
      <x:c r="AP174" s="68"/>
    </x:row>
    <x:row r="175" s="25" customFormat="1" ht="22" customHeight="1">
      <x:c r="A175" s="68" t="str">
        <x:v>4434045022</x:v>
      </x:c>
      <x:c r="B175" s="68" t="str">
        <x:v>AI Engineer III</x:v>
      </x:c>
      <x:c r="C175" s="68" t="str">
        <x:v>Visual Comfort &amp; Co.</x:v>
      </x:c>
      <x:c r="D175" s="68" t="str">
        <x:v>Houston, TX</x:v>
      </x:c>
      <x:c r="E175" s="68" t="str">
        <x:v>Failed</x:v>
      </x:c>
      <x:c r="F175" s="68"/>
      <x:c r="G175" s="69"/>
      <x:c r="H175" s="85" t="str">
        <x:v>2026-08-09</x:v>
      </x:c>
      <x:c r="I175" s="85" t="str">
        <x:v>2026-08-12 13:18:49</x:v>
      </x:c>
      <x:c r="J175" s="68" t="str">
        <x:v>200</x:v>
      </x:c>
      <x:c r="K175" s="70" t="str">
        <x:v>$124,000.00/yr - $132,000.00/yr</x:v>
      </x:c>
      <x:c r="L175" s="86"/>
      <x:c r="M175" s="87"/>
      <x:c r="N175" s="71"/>
      <x:c r="O175" s="88"/>
      <x:c r="P175" s="89"/>
      <x:c r="Q175" s="89"/>
      <x:c r="R175" s="89"/>
      <x:c r="S175" s="73"/>
      <x:c r="T175" s="68"/>
      <x:c r="U175" s="68" t="str">
        <x:v>https://www.linkedin.com/jobs/view/ai-engineer-iii-at-visual-comfort-co-4434045022?position=1&amp;pageNum=8&amp;refId=iJ7JllnznD4v9vYGfj%2FYiQ%3D%3D&amp;trackingId=2rcYHDqQB8wi3TTsANrMMg%3D%3D</x:v>
      </x:c>
      <x:c r="V175" s="68" t="str">
        <x:v>2rcYHDqQB8wi3TTsANrMMg==</x:v>
      </x:c>
      <x:c r="W175" s="68" t="str">
        <x:v>iJ7JllnznD4v9vYGfj/YiQ==</x:v>
      </x:c>
      <x:c r="X175" s="68" t="str">
        <x:v>https://www.linkedin.com/company/visual-comfort-&amp;-co?trk=public_jobs_jserp-result_job-search-card-subtitle</x:v>
      </x:c>
      <x:c r="Y175" s="68" t="str">
        <x:v>https://media.licdn.com/dms/image/v2/D4E0BAQF4viBVD_h71Q/company-logo_100_100/B4EZ6PX2HfJkAI-/0/1780521853639/visual_comfort__co_logo?e=2147483647&amp;v=beta&amp;t=zsjejZ1WcAF_Zuu-Z2gYQJW6WFnN4eW2IV4n3RKDKnA</x:v>
      </x:c>
      <x:c r="Z175" s="68"/>
      <x:c r="AA175" s="68" t="str">
        <x:v>&lt;strong&gt;Who we are:&lt;br&gt;&lt;br&gt;&lt;/strong&gt;Visual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experience.&lt;br&gt;&lt;br&gt;Reporting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efficiency.&lt;br&gt;&lt;br&gt;&lt;strong&gt;Visual Comfort Offers:&lt;br&gt;&lt;br&gt;&lt;/strong&gt;&lt;ul&gt;&lt;li&gt;Work-Life Balance: Monday – Friday, 8:00am – 5:00pm, Domestic Travel 25%&lt;/li&gt;&lt;li&gt;Training &amp;amp; Development: A comprehensive and structured training program, complemented by ongoing education and opportunities for career advancement.&lt;/li&gt;&lt;li&gt;Paid Time Off: Generous vacation accrual and paid time off policies.&lt;/li&gt;&lt;li&gt;Holidays: 7 paid holidays per year, in addition to 2 floating holidays.&lt;/li&gt;&lt;li&gt;Compensation: Competitive compensation plan &lt;/li&gt;&lt;li&gt;Health Benefits: Visual Comfort covers the majority of employee medical premiums, and offers competitive vision and dental coverage available starting the first of the month following your start date.&lt;/li&gt;&lt;li&gt;Insurance: Company-provided life insurance and short-term disability coverage.&lt;/li&gt;&lt;li&gt;Retirement: 401(k) plan with company matching up to 4%, available beginning the first of the month following your hire date.&lt;br&gt;&lt;br&gt;&lt;/li&gt;&lt;/ul&gt;&lt;strong&gt;How success is defined:&lt;br&gt;&lt;br&gt;&lt;/strong&gt;&lt;ul&gt;&lt;li&gt;Design, develop, and deploy scalable machine learning models (predictive, classification, anomaly detection, clustering) and AI-powered solutions such as intelligent assistants, forecasting systems, and natural language interfaces.&lt;/li&gt;&lt;li&gt;Integrate AI and machine learning capabilities into enterprise applications and platforms using services such as Azure AI, OpenAI, and similar technologies.&lt;/li&gt;&lt;li&gt;Architect and build reusable AI frameworks, components, and services to enable enterprise-wide scalability, standardization, and rapid deployment.&lt;/li&gt;&lt;li&gt;Partner with data engineering teams to develop ML-ready datasets, feature pipelines, and robust data foundations that support advanced analytics and AI use cases.&lt;/li&gt;&lt;li&gt;Leverage enterprise data platforms (e.g., Azure, Fabric, Synapse) to design and execute scalable, high-performance AI workloads.&lt;/li&gt;&lt;li&gt;Embed AI-driven insights and predictive analytics into BI solutions (e.g., Power BI, Datamarts) and integrate outputs into dashboards, semantic models, and reporting layers.&lt;/li&gt;&lt;li&gt;Ensure alignment of AI and analytics solutions with enterprise KPIs, reporting standards, and data governance frameworks across ERP, CRM, and operational systems.&lt;/li&gt;&lt;li&gt;Develop intelligent automation and decisioning systems that combine machine learning with rule-based logic to enable proactive monitoring, anomaly detection, and self-healing capabilities.&lt;/li&gt;&lt;li&gt;Establish and enforce Responsible AI practices, including model transparency, explainability, monitoring, and ethical use of data and algorithms.&lt;/li&gt;&lt;li&gt;Ensure compliance with enterprise data governance, security, and regulatory requirements, maintaining auditability and integrity of AI models and outputs.&lt;/li&gt;&lt;li&gt;Translate business requirements into AI-enabled solutions by partnering cross-functionally with Finance, Sales, Operations, and other stakeholders to prioritize high-value use cases.&lt;/li&gt;&lt;li&gt;Communicate AI solutions and insights to technical and non-technical audiences and support user enablement, training, and adoption of AI-driven analytics tools.&lt;/li&gt;&lt;li&gt;Works effectively with others in a team environment to accomplish organizational goals and to identify and resolve problems. &lt;/li&gt;&lt;li&gt;Exhibits and adheres to the established Visual Comfort Company Values.&lt;/li&gt;&lt;li&gt;Must demonstrate commitment, dependability, punctuality, and adherence to agreed-upon schedule while being present in the workplace to effectively collaborate and communicate amongst co-workers and teams.&lt;br&gt;&lt;br&gt;&lt;/li&gt;&lt;/ul&gt;&lt;strong&gt;What you will bring:&lt;br&gt;&lt;br&gt;&lt;/strong&gt;&lt;ul&gt;&lt;li&gt;Bachelor’s degree in Computer Science, Data Science, Engineering, or a related field; equivalent combinations of education and experience will be considered.&lt;/li&gt;&lt;li&gt;4-7 years of experience in AI/ML, data science, or advanced analytics, with a proven track record of delivering production-grade AI and data solutions in enterprise environments.&lt;/li&gt;&lt;li&gt;4-7 years of hands-on programming experience with Python and SQL, including building, testing, and deploying data-driven applications and models.&lt;/li&gt;&lt;li&gt;4-7 years of experience with machine learning frameworks and model lifecycle management, including training, validation, deployment, and monitoring.&lt;/li&gt;&lt;li&gt;Demonstrated experience integrating AI/ML solutions into enterprise applications and reporting platforms, including BI tools such as Power BI or similar visualization technologies.&lt;/li&gt;&lt;li&gt;4-7 years of experience working with cloud data and AI platforms (Azure, AWS, or similar), including services such as Azure AI, Azure ML, OpenAI, Synapse, or Fabric.&lt;/li&gt;&lt;li&gt;Strong understanding of data modeling (including dimensional modeling), semantic layers, and enterprise reporting structures.&lt;/li&gt;&lt;li&gt;Experience designing and supporting ETL/ELT pipelines and collaborating with data engineering teams to enable scalable AI and analytics solutions.&lt;/li&gt;&lt;li&gt;Strong analytical, organizational, and problem-solving skills, with high attention to detail and the ability to manage multiple priorities in a fast-paced, evolving environment.&lt;/li&gt;&lt;li&gt;Ability to translate complex business requirements into scalable, high-impact technical solutions and align AI initiatives to business outcomes across functions such as Finance, Sales, and Operations.&lt;/li&gt;&lt;li&gt;Effective communication and collaboration skills, including the ability to clearly convey technical concepts across multiple channels (e.g., email, chat, presentations) and work independently or as part of cross-functional teams.&lt;/li&gt;&lt;li&gt;Experience with enterprise systems (e.g., ERP platforms such as D365 or JD Edwards) and industry domains such as retail, manufacturing, or supply chain analytics is nice to have not required.&lt;/li&gt;&lt;li&gt;Experience developing AI copilots, chatbots, or enterprise AI agents is preferred.&lt;/li&gt;&lt;li&gt;Microsoft certifications in Azure AI, Data, or Power BI are a plus.&lt;/li&gt;&lt;li&gt;Ability to work a flexible schedule to support business needs, including occasional early mornings, evenings, or weekends as required.&lt;br&gt;&lt;br&gt;&lt;/li&gt;&lt;/ul&gt;Compensation Range: $124,000 - $132,000&lt;br&gt;&lt;br&gt;Compensation is based on individual factors, including skill set, relevant experience, and work location&lt;br&gt;&lt;br&gt;Qualified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status.&lt;br&gt;&lt;br&gt;To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(CPT).&lt;br&gt;&lt;br&gt;</x:v>
      </x:c>
      <x:c r="AB175" s="68" t="str">
        <x:v>Who we are:
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
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
Visual Comfort Offers:
- Work-Life Balance: Monday – Friday, 8:00am – 5:00pm, Domestic Travel 25%
- Training &amp;amp; Development: A comprehensive and structured training program, complemented by ongoing education and opportunities for career advancement.
- Paid Time Off: Generous vacation accrual and paid time off policies.
- Holidays: 7 paid holidays per year, in addition to 2 floating holidays.
- Compensation: Competitive compensation plan 
- Health Benefits: Visual Comfort covers the majority of employee medical premiums, and offers competitive vision and dental coverage available starting the first of the month following your start date.
- Insurance: Company-provided life insurance and short-term disability coverage.
- Retirement: 401(k) plan with company matching up to 4%, available beginning the first of the month following your hire date.
How success is defined:
- Design, develop, and deploy scalable machine learning models (predictive, classification, anomaly detection, clustering) and AI-powered solutions such as intelligent assistants, forecasting systems, and natural language interfaces.
- Integrate AI and machine learning capabilities into enterprise applications and platforms using services such as Azure AI, OpenAI, and similar technologies.
- Architect and build reusable AI frameworks, components, and services to enable enterprise-wide scalability, standardization, and rapid deployment.
- Partner with data engineering teams to develop ML-ready datasets, feature pipelines, and robust data foundations that support advanced analytics and AI use cases.
- Leverage enterprise data platforms (e.g., Azure, Fabric, Synapse) to design and execute scalable, high-performance AI workloads.
- Embed AI-driven insights and predictive analytics into BI solutions (e.g., Power BI, Datamarts) and integrate outputs into dashboards, semantic models, and reporting layers.
- Ensure alignment of AI and analytics solutions with enterprise KPIs, reporting standards, and data governance frameworks across ERP, CRM, and operational systems.
- Develop intelligent automation and decisioning systems that combine machine learning with rule-based logic to enable proactive monitoring, anomaly detection, and self-healing capabilities.
- Establish and enforce Responsible AI practices, including model transparency, explainability, monitoring, and ethical use of data and algorithms.
- Ensure compliance with enterprise data governance, security, and regulatory requirements, maintaining auditability and integrity of AI models and outputs.
- Translate business requirements into AI-enabled solutions by partnering cross-functionally with Finance, Sales, Operations, and other stakeholders to prioritize high-value use cases.
- Communicate AI solutions and insights to technical and non-technical audiences and support user enablement, training, and adoption of AI-driven analytics tools.
- Works effectively with others in a team environment to accomplish organizational goals and to identify and resolve problems. 
- Exhibits and adheres to the established Visual Comfort Company Values.
- Must demonstrate commitment, dependability, punctuality, and adherence to agreed-upon schedule while being present in the workplace to effectively collaborate and communicate amongst co-workers and teams.
What you will bring:
- Bachelor’s degree in Computer Science, Data Science, Engineering, or a related field; equivalent combinations of education and experience will be considered.
- 4-7 years of experience in AI/ML, data science, or advanced analytics, with a proven track record of delivering production-grade AI and data solutions in enterprise environments.
- 4-7 years of hands-on programming experience with Python and SQL, including building, testing, and deploying data-driven applications and models.
- 4-7 years of experience with machine learning frameworks and model lifecycle management, including training, validation, deployment, and monitoring.
- Demonstrated experience integrating AI/ML solutions into enterprise applications and reporting platforms, including BI tools such as Power BI or similar visualization technologies.
- 4-7 years of experience working with cloud data and AI platforms (Azure, AWS, or similar), including services such as Azure AI, Azure ML, OpenAI, Synapse, or Fabric.
- Strong understanding of data modeling (including dimensional modeling), semantic layers, and enterprise reporting structures.
- Experience designing and supporting ETL/ELT pipelines and collaborating with data engineering teams to enable scalable AI and analytics solutions.
- Strong analytical, organizational, and problem-solving skills, with high attention to detail and the ability to manage multiple priorities in a fast-paced, evolving environment.
- Ability to translate complex business requirements into scalable, high-impact technical solutions and align AI initiatives to business outcomes across functions such as Finance, Sales, and Operations.
- Effective communication and collaboration skills, including the ability to clearly convey technical concepts across multiple channels (e.g., email, chat, presentations) and work independently or as part of cross-functional teams.
- Experience with enterprise systems (e.g., ERP platforms such as D365 or JD Edwards) and industry domains such as retail, manufacturing, or supply chain analytics is nice to have not required.
- Experience developing AI copilots, chatbots, or enterprise AI agents is preferred.
- Microsoft certifications in Azure AI, Data, or Power BI are a plus.
- Ability to work a flexible schedule to support business needs, including occasional early mornings, evenings, or weekends as required.
Compensation Range: $124,000 - $132,000
Compensation is based on individual factors, including skill set, relevant experience, and work location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
</x:v>
      </x:c>
      <x:c r="AC175" s="68" t="str">
        <x:v>Not Applicable</x:v>
      </x:c>
      <x:c r="AD175" s="68" t="str">
        <x:v>Full-time</x:v>
      </x:c>
      <x:c r="AE175" s="68" t="str">
        <x:v>Engineering and Information Technology</x:v>
      </x:c>
      <x:c r="AF175" s="68" t="str">
        <x:v>Retail</x:v>
      </x:c>
      <x:c r="AG175" s="68" t="str">
        <x:v>https://www.linkedin.com/jobs/search/?position=1&amp;pageNum=0&amp;keywords=AI+Engineer&amp;location=United+States&amp;distance=0&amp;f_TPR=r604800</x:v>
      </x:c>
      <x:c r="AH175" s="68" t="str">
        <x:v>{'type': 'PostalAddress', 'streetAddress': '22400 Northwest Lake Drive', 'addressLocality': 'Houston', 'addressRegion': 'TX', 'postalCode': '77095', 'addressCountry': 'US'}</x:v>
      </x:c>
      <x:c r="AI175" s="68" t="str">
        <x:v>http://www.visualcomfort.com</x:v>
      </x:c>
      <x:c r="AJ175" s="68" t="str">
        <x:v>Discover the power and beauty of light</x:v>
      </x:c>
      <x:c r="AK175" s="68" t="str">
        <x:v>Discover the power and beauty of light
Visual Comfort &amp; Co. is the premier resource for decorative lighting, architectural lighting, and ceiling fans from the most influential designers in the world. Our community of interior designers, architects, lighting designers, builders, contractors, e-tailers, retailers, distributors, and consumers shares a modern sensibility, an affinity for great design, and a passion for elevating their built environment. Moreover, they value quality craftsmanship, investing in premium design elements because they truly value the longevity and distinction these details bring to a space.​
We are proud to be pioneers in partnering with extraordinary designers. Each of our design partners brings their own unique vision to the creation of beautiful lighting, extending the range of what we do and who we reach. It is our privilege to bring their designs to life, and we’re thrilled they are the company we keep. ​
As we’ve grown, Visual Comfort &amp; Co. has become home to the world’s most expansive selection of premium lighting &amp; fans. We are one company, one source, &amp; one brand—tirelessly building on the promise that still rings true in the name of our original business. We’ve organized our vast portfolio into a series of curated collections (Signature, Modern, Studio, Fan, and Architectural) that make it easier to find the product, style, &amp; price range you want for any size &amp; type of project. ​
Our selection aims to meet a diversity of needs and preferences, and our shopping experience (in our showrooms and online) is designed to share a representative range of our products in an optimal setting. We are committed to assisting our customers through every step of their Visual Comfort &amp; Co. journey, providing exceptional support and personalized assistance to ensure satisfaction. Our dedicated team strives to exceed customer expectations by providing a seamless and enjoyable experience from selection to installation.</x:v>
      </x:c>
      <x:c r="AL175" s="68" t="str">
        <x:v>1274.0</x:v>
      </x:c>
      <x:c r="AM175" s="68"/>
      <x:c r="AN175" s="68"/>
      <x:c r="AO175" s="68"/>
      <x:c r="AP175" s="68"/>
    </x:row>
    <x:row r="176" s="25" customFormat="1" ht="22" customHeight="1">
      <x:c r="A176" s="68" t="str">
        <x:v>4404263433</x:v>
      </x:c>
      <x:c r="B176" s="68" t="str">
        <x:v>Software Engineer, Applied AI</x:v>
      </x:c>
      <x:c r="C176" s="68" t="str">
        <x:v>Serval</x:v>
      </x:c>
      <x:c r="D176" s="68" t="str">
        <x:v>San Francisco, CA</x:v>
      </x:c>
      <x:c r="E176" s="68" t="str">
        <x:v>Applied</x:v>
      </x:c>
      <x:c r="F176" s="68"/>
      <x:c r="G176" s="69"/>
      <x:c r="H176" s="85" t="str">
        <x:v>2026-08-06</x:v>
      </x:c>
      <x:c r="I176" s="85" t="str">
        <x:v>2026-08-12 13:18:49</x:v>
      </x:c>
      <x:c r="J176" s="68" t="str">
        <x:v>200</x:v>
      </x:c>
      <x:c r="K176" s="70" t="str">
        <x:v>$200,000.00/yr - $325,000.00/yr</x:v>
      </x:c>
      <x:c r="L176" s="86"/>
      <x:c r="M176" s="87"/>
      <x:c r="N176" s="71"/>
      <x:c r="O176" s="88"/>
      <x:c r="P176" s="89"/>
      <x:c r="Q176" s="89"/>
      <x:c r="R176" s="89"/>
      <x:c r="S176" s="73"/>
      <x:c r="T176" s="68"/>
      <x:c r="U176" s="68" t="str">
        <x:v>https://www.linkedin.com/jobs/view/software-engineer-applied-ai-at-serval-4404263433?position=8&amp;pageNum=9&amp;refId=wWuvrZI7qtoor%2BT5ED9n0g%3D%3D&amp;trackingId=8WvaAmYBo3jogAaH07yXEA%3D%3D</x:v>
      </x:c>
      <x:c r="V176" s="68" t="str">
        <x:v>8WvaAmYBo3jogAaH07yXEA==</x:v>
      </x:c>
      <x:c r="W176" s="68" t="str">
        <x:v>wWuvrZI7qtoor+T5ED9n0g==</x:v>
      </x:c>
      <x:c r="X176" s="68" t="str">
        <x:v>https://www.linkedin.com/company/getserval?trk=public_jobs_jserp-result_job-search-card-subtitle</x:v>
      </x:c>
      <x:c r="Y176" s="68" t="str">
        <x:v>https://media.licdn.com/dms/image/v2/D560BAQFGo-_CoD-sAw/company-logo_100_100/company-logo_100_100/0/1714144908272/getserval_logo?e=2147483647&amp;v=beta&amp;t=rZ9VKv2tsQoQ-DkcG-pLIfGNTh70xWtPyvEymz1Sr5Y</x:v>
      </x:c>
      <x:c r="Z176" s="68"/>
      <x:c r="AA176" s="68" t="str">
        <x:v>&lt;strong&gt;&lt;strong&gt;Who We Are&lt;br&gt;&lt;br&gt;&lt;/strong&gt;&lt;/strong&gt;Serval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organizations.&lt;br&gt;&lt;br&gt;At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Engineering.&lt;br&gt;&lt;br&gt;Our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moving.&lt;br&gt;&lt;br&gt;We’re backed by leading investors including Sequoia Capital, Redpoint Ventures, Meritech, First Round, General Catalyst, Elad Gil, and others.&lt;br&gt;&lt;br&gt;&lt;strong&gt;&lt;strong&gt;Role Overview&lt;br&gt;&lt;br&gt;&lt;/strong&gt;&lt;/strong&gt;As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automation.&lt;br&gt;&lt;br&gt;&lt;strong&gt;&lt;strong&gt;What You'll Do&lt;br&gt;&lt;br&gt;&lt;/strong&gt;&lt;/strong&gt;&lt;ul&gt;&lt;li&gt;Design, build, and deploy AI-powered features from the ground up. &lt;/li&gt;&lt;li&gt;Develop and optimize Serval’s applied AI systems — from model selection and fine-tuning to inference and evaluation pipelines. &lt;/li&gt;&lt;li&gt;Integrate AI capabilities into production environments, ensuring reliability, scalability, and performance. &lt;/li&gt;&lt;li&gt;Collaborate across engineering and product to bring new customer experiences to life. &lt;/li&gt;&lt;li&gt;Continuously evaluate model performance and improve results based on data and user feedback. &lt;/li&gt;&lt;li&gt;Help establish AI engineering best practices and raise the technical bar across the team. &lt;br&gt;&lt;br&gt;&lt;/li&gt;&lt;/ul&gt;&lt;strong&gt;&lt;strong&gt;What You'll Need&lt;br&gt;&lt;br&gt;&lt;/strong&gt;&lt;/strong&gt;&lt;ul&gt;&lt;li&gt;Experience as a software engineer or machine learning engineer with a focus on applied AI. &lt;/li&gt;&lt;li&gt;Proven experience developing and deploying production-grade AI systems, ideally leveraging large language models or foundation models. &lt;/li&gt;&lt;li&gt;Experience with prompt engineering, fine-tuning, or evaluation techniques for LLMs. &lt;/li&gt;&lt;li&gt;Comfort working with APIs, data pipelines, and cloud environments (AWS, GCP, or similar). &lt;/li&gt;&lt;li&gt;Deep appreciation for delivering high-quality user experiences, not just high-performing models. &lt;/li&gt;&lt;li&gt;Excellent communication skills and ability to thrive in a fast-paced, collaborative startup environment. &lt;/li&gt;&lt;li&gt;Degree in Computer Science or a related technical field. &lt;br&gt;&lt;br&gt;&lt;/li&gt;&lt;/ul&gt;&lt;strong&gt;&lt;strong&gt;Nice to Have&lt;br&gt;&lt;br&gt;&lt;/strong&gt;&lt;/strong&gt;&lt;ul&gt;&lt;li&gt;Experience building AI-native applications or tools that use LLMs in production. &lt;/li&gt;&lt;li&gt;Familiarity with our stack: Go, gRPC, React, TypeScript, Kubernetes, AWS, and Terraform. &lt;/li&gt;&lt;li&gt;Early-stage startup experience or a track record of zero-to-one product development. &lt;/li&gt;&lt;li&gt;Experience with retrieval-augmented generation (RAG), vector databases, or orchestration frameworks. &lt;br&gt;&lt;br&gt;&lt;/li&gt;&lt;/ul&gt;&lt;strong&gt;What we offer&lt;br&gt;&lt;br&gt;&lt;/strong&gt;&lt;ul&gt;&lt;li&gt;Impact: Be a key player in shaping the success of our product and company. &lt;/li&gt;&lt;li&gt;Growth: Build a fundamentally new AI product offering with the support of our experienced team and investors. Grow rapidly with the company. &lt;/li&gt;&lt;li&gt;Culture: Join a culture that values innovation, ownership, accountability, and fun. &lt;br&gt;&lt;br&gt;&lt;/li&gt;&lt;/ul&gt;Compensation Range: $200K - $325K&lt;br&gt;&lt;br&gt;</x:v>
      </x:c>
      <x:c r="AB176" s="68" t="str">
        <x:v>Who We Are
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
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
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
We’re backed by leading investors including Sequoia Capital, Redpoint Ventures, Meritech, First Round, General Catalyst, Elad Gil, and others.
Role Overview
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
What You'll Do
- Design, build, and deploy AI-powered features from the ground up. 
- Develop and optimize Serval’s applied AI systems — from model selection and fine-tuning to inference and evaluation pipelines. 
- Integrate AI capabilities into production environments, ensuring reliability, scalability, and performance. 
- Collaborate across engineering and product to bring new customer experiences to life. 
- Continuously evaluate model performance and improve results based on data and user feedback. 
- Help establish AI engineering best practices and raise the technical bar across the team. 
What You'll Need
- Experience as a software engineer or machine learning engineer with a focus on applied AI. 
- Proven experience developing and deploying production-grade AI systems, ideally leveraging large language models or foundation models. 
- Experience with prompt engineering, fine-tuning, or evaluation techniques for LLMs. 
- Comfort working with APIs, data pipelines, and cloud environments (AWS, GCP, or similar). 
- Deep appreciation for delivering high-quality user experiences, not just high-performing models. 
- Excellent communication skills and ability to thrive in a fast-paced, collaborative startup environment. 
- Degree in Computer Science or a related technical field. 
Nice to Have
- Experience building AI-native applications or tools that use LLMs in production. 
- Familiarity with our stack: Go, gRPC, React, TypeScript, Kubernetes, AWS, and Terraform. 
- Early-stage startup experience or a track record of zero-to-one product development. 
- Experience with retrieval-augmented generation (RAG), vector databases, or orchestration frameworks. 
What we offer
- Impact: Be a key player in shaping the success of our product and company. 
- Growth: Build a fundamentally new AI product offering with the support of our experienced team and investors. Grow rapidly with the company. 
- Culture: Join a culture that values innovation, ownership, accountability, and fun. 
Compensation Range: $200K - $325K
</x:v>
      </x:c>
      <x:c r="AC176" s="68" t="str">
        <x:v>Not Applicable</x:v>
      </x:c>
      <x:c r="AD176" s="68" t="str">
        <x:v>Full-time</x:v>
      </x:c>
      <x:c r="AE176" s="68" t="str">
        <x:v>Engineering and Information Technology</x:v>
      </x:c>
      <x:c r="AF176" s="68" t="str">
        <x:v>Software Development</x:v>
      </x:c>
      <x:c r="AG176" s="68" t="str">
        <x:v>https://www.linkedin.com/jobs/search/?position=1&amp;pageNum=0&amp;keywords=AI+Engineer&amp;location=United+States&amp;distance=0&amp;f_TPR=r604800</x:v>
      </x:c>
      <x:c r="AH176" s="68" t="str">
        <x:v>{'type': 'PostalAddress', 'streetAddress': '100 Montgomery St', 'addressLocality': 'San Francisco', 'addressRegion': 'California', 'postalCode': '94104', 'addressCountry': 'US'}</x:v>
      </x:c>
      <x:c r="AI176" s="68" t="str">
        <x:v>https://www.serval.com</x:v>
      </x:c>
      <x:c r="AJ176" s="68" t="str">
        <x:v>AI Agents for IT</x:v>
      </x:c>
      <x:c r="AK176" s="68" t="str">
        <x:v>Serval is a unified help desk, access management, and automation platform with a built-in AI agent workforce. Deploy AI agents to automate the most challenging help desk requests, build enterprise-grade workflow automations, and surface actionable insights.</x:v>
      </x:c>
      <x:c r="AL176" s="68" t="str">
        <x:v>157.0</x:v>
      </x:c>
      <x:c r="AM176" s="68"/>
      <x:c r="AN176" s="68"/>
      <x:c r="AO176" s="68"/>
      <x:c r="AP176" s="68"/>
    </x:row>
    <x:row r="177" s="25" customFormat="1" ht="22" customHeight="1">
      <x:c r="A177" s="68" t="str">
        <x:v>4453150556</x:v>
      </x:c>
      <x:c r="B177" s="68" t="str">
        <x:v>Artificial Intelligence Engineer</x:v>
      </x:c>
      <x:c r="C177" s="68" t="str">
        <x:v>Yara AI</x:v>
      </x:c>
      <x:c r="D177" s="68" t="str">
        <x:v>United States</x:v>
      </x:c>
      <x:c r="E177" s="68" t="str">
        <x:v>In Progress</x:v>
      </x:c>
      <x:c r="F177" s="68"/>
      <x:c r="G177" s="69"/>
      <x:c r="H177" s="85" t="str">
        <x:v>2026-08-12</x:v>
      </x:c>
      <x:c r="I177" s="85" t="str">
        <x:v>2026-08-12 13:18:49</x:v>
      </x:c>
      <x:c r="J177" s="68" t="str">
        <x:v>47</x:v>
      </x:c>
      <x:c r="K177" s="70" t="str">
        <x:v>$150,000.00/yr - $400,000.00/yr</x:v>
      </x:c>
      <x:c r="L177" s="86"/>
      <x:c r="M177" s="87"/>
      <x:c r="N177" s="71"/>
      <x:c r="O177" s="88"/>
      <x:c r="P177" s="89"/>
      <x:c r="Q177" s="89"/>
      <x:c r="R177" s="89"/>
      <x:c r="S177" s="73"/>
      <x:c r="T177" s="68"/>
      <x:c r="U177" s="68" t="str">
        <x:v>https://www.linkedin.com/jobs/view/artificial-intelligence-engineer-at-yara-ai-4453150556?position=4&amp;pageNum=9&amp;refId=wWuvrZI7qtoor%2BT5ED9n0g%3D%3D&amp;trackingId=yTNFHAW31CdGj1e%2BQT%2BBJw%3D%3D</x:v>
      </x:c>
      <x:c r="V177" s="68" t="str">
        <x:v>yTNFHAW31CdGj1e+QT+BJw==</x:v>
      </x:c>
      <x:c r="W177" s="68" t="str">
        <x:v>wWuvrZI7qtoor+T5ED9n0g==</x:v>
      </x:c>
      <x:c r="X177" s="68" t="str">
        <x:v>https://www.linkedin.com/company/yara-jobs?trk=public_jobs_jserp-result_job-search-card-subtitle</x:v>
      </x:c>
      <x:c r="Y177" s="68" t="str">
        <x:v>https://media.licdn.com/dms/image/v2/D4E0BAQFTgTqK-HzZuA/company-logo_100_100/B4EZ5__10ZI8AM-/0/1780263904406?e=2147483647&amp;v=beta&amp;t=JSP0sS5tJ0mYJGRzekEnCaFeu0Xw51gsVy9isOC34FY</x:v>
      </x:c>
      <x:c r="Z177" s="68"/>
      <x:c r="AA177" s="68" t="str">
        <x:v>&lt;p&gt;&lt;em&gt;This is a Yara Network Application. Apply once and get matched across our partner companies.&lt;/em&gt;&lt;/p&gt;&lt;p&gt;&lt;br&gt;&lt;/p&gt;&lt;p&gt;&lt;strong&gt;About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x:v>
      </x:c>
      <x:c r="AB177" s="68" t="str">
        <x:v>
This is a Yara Network Application. Apply once and get matched across our partner companies.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x:v>
      </x:c>
      <x:c r="AC177" s="68" t="str">
        <x:v>Mid-Senior level</x:v>
      </x:c>
      <x:c r="AD177" s="68" t="str">
        <x:v>Full-time</x:v>
      </x:c>
      <x:c r="AE177" s="68" t="str">
        <x:v>Engineering</x:v>
      </x:c>
      <x:c r="AF177" s="68" t="str">
        <x:v>Software Development</x:v>
      </x:c>
      <x:c r="AG177" s="68" t="str">
        <x:v>https://www.linkedin.com/jobs/search/?position=1&amp;pageNum=0&amp;keywords=AI+Engineer&amp;location=United+States&amp;distance=0&amp;f_TPR=r604800</x:v>
      </x:c>
      <x:c r="AH177" s="68" t="str">
        <x:v>{'type': 'PostalAddress', 'addressLocality': 'San Francisco', 'addressRegion': 'California', 'postalCode': '94102', 'addressCountry': 'US'}</x:v>
      </x:c>
      <x:c r="AI177" s="68" t="str">
        <x:v>https://www.yara.so/</x:v>
      </x:c>
      <x:c r="AJ177" s="68" t="str">
        <x:v>Your AI job search agent</x:v>
      </x:c>
      <x:c r="AK177" s="68" t="str">
        <x:v>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x:v>
      </x:c>
      <x:c r="AL177" s="68" t="str">
        <x:v>2.0</x:v>
      </x:c>
      <x:c r="AM177" s="68"/>
      <x:c r="AN177" s="68"/>
      <x:c r="AO177" s="68"/>
      <x:c r="AP177" s="68"/>
    </x:row>
    <x:row r="178" s="25" customFormat="1" ht="22" customHeight="1">
      <x:c r="A178" s="68" t="str">
        <x:v>4452377630</x:v>
      </x:c>
      <x:c r="B178" s="68" t="str">
        <x:v>Machine Learning Engineer</x:v>
      </x:c>
      <x:c r="C178" s="68" t="str">
        <x:v>Haystack</x:v>
      </x:c>
      <x:c r="D178" s="68" t="str">
        <x:v>San Diego Metropolitan Area</x:v>
      </x:c>
      <x:c r="E178" s="68" t="str">
        <x:v>Failed</x:v>
      </x:c>
      <x:c r="F178" s="68"/>
      <x:c r="G178" s="69"/>
      <x:c r="H178" s="85" t="str">
        <x:v>2026-08-12</x:v>
      </x:c>
      <x:c r="I178" s="85" t="str">
        <x:v>2026-08-12 13:18:49</x:v>
      </x:c>
      <x:c r="J178" s="68" t="str">
        <x:v>31</x:v>
      </x:c>
      <x:c r="K178" s="70"/>
      <x:c r="L178" s="86"/>
      <x:c r="M178" s="87"/>
      <x:c r="N178" s="71"/>
      <x:c r="O178" s="88"/>
      <x:c r="P178" s="89"/>
      <x:c r="Q178" s="89"/>
      <x:c r="R178" s="89"/>
      <x:c r="S178" s="73"/>
      <x:c r="T178" s="68"/>
      <x:c r="U178" s="68" t="str">
        <x:v>https://www.linkedin.com/jobs/view/machine-learning-engineer-at-haystack-4452377630?position=7&amp;pageNum=9&amp;refId=wWuvrZI7qtoor%2BT5ED9n0g%3D%3D&amp;trackingId=TEFi3od8uiQTkgdm1DXJLQ%3D%3D</x:v>
      </x:c>
      <x:c r="V178" s="68" t="str">
        <x:v>TEFi3od8uiQTkgdm1DXJLQ==</x:v>
      </x:c>
      <x:c r="W178" s="68" t="str">
        <x:v>wWuvrZI7qtoor+T5ED9n0g==</x:v>
      </x:c>
      <x:c r="X178" s="68" t="str">
        <x:v>https://uk.linkedin.com/company/wearehaystack?trk=public_jobs_jserp-result_job-search-card-subtitle</x:v>
      </x:c>
      <x:c r="Y178" s="68" t="str">
        <x:v>https://media.licdn.com/dms/image/v2/D4E0BAQFq9pcJGgSIpw/company-logo_100_100/company-logo_100_100/0/1661435358398/wearehaystack_logo?e=2147483647&amp;v=beta&amp;t=rujfUADbjJfzHP5KvyRjFwVpiCqcmuXrLF36sSaB1m8</x:v>
      </x:c>
      <x:c r="Z178" s="68"/>
      <x:c r="AA178" s="68" t="str">
        <x:v>&lt;p&gt;We're hiring on behalf of a Haystack partner!&lt;/p&gt;&lt;p&gt;&lt;br&gt;&lt;/p&gt;&lt;p&gt;The Role&lt;/p&gt;&lt;p&gt;• Execute on the design and delivery of Agentic AI for hardware design.&lt;/p&gt;&lt;p&gt;• Identify and enable impactful technical ideas and research directions for Generative AI applications in hardware design.&lt;/p&gt;&lt;p&gt;• Collaborate with and coach others to complete tasks and achieve project goals.&lt;/p&gt;&lt;p&gt;• Engage with cross-functional teams to identify and deliver solutions for technical gaps and opportunities.&lt;/p&gt;&lt;p&gt;• Contribute to the team’s innovation engine from idea to execution.&lt;/p&gt;&lt;p&gt;• Stay current on AI, systems, and hardware-software advances relevant to AI for chip design.&lt;/p&gt;&lt;p&gt;&lt;br&gt;&lt;/p&gt;&lt;p&gt;What You'll Need&lt;/p&gt;&lt;p&gt;• PhD in Computer Science, Electrical Engineering, or a related field.&lt;/p&gt;&lt;p&gt;• At least 2 years of industry experience in Machine Learning/GenAI and MLOps.&lt;/p&gt;&lt;p&gt;• Industry experience in ML/AI product development and deployment.&lt;/p&gt;&lt;p&gt;• Deep knowledge of foundational model architectures and experience in foundation model development.&lt;/p&gt;&lt;p&gt;• Proficiency in programming languages such as Python, Java, or C++.&lt;/p&gt;&lt;p&gt;• Hands-on industry expertise in Agentic AI tools, frameworks, and best practices.&lt;/p&gt;&lt;p&gt;&lt;br&gt;&lt;/p&gt;&lt;p&gt;What's On Offer&lt;/p&gt;&lt;p&gt;• Competitive annual salary ($140,800 - $211,200) plus bonus potential and RSU grants.&lt;/p&gt;&lt;p&gt;• Opportunity to work on cutting-edge AI research with productization potential.&lt;/p&gt;&lt;p&gt;• Collaborative and interdisciplinary team environment.&lt;/p&gt;&lt;p&gt;• Comprehensive benefits package.&lt;/p&gt;&lt;p&gt;&lt;br&gt;&lt;/p&gt;&lt;p&gt;Apply via Haystack today!&lt;/p&gt;</x:v>
      </x:c>
      <x:c r="AB178" s="68" t="str">
        <x:v>
We're hiring on behalf of a Haystack partner!
The Role
• Execute on the design and delivery of Agentic AI for hardware design.
• Identify and enable impactful technical ideas and research directions for Generative AI applications in hardware design.
• Collaborate with and coach others to complete tasks and achieve project goals.
• Engage with cross-functional teams to identify and deliver solutions for technical gaps and opportunities.
• Contribute to the team’s innovation engine from idea to execution.
• Stay current on AI, systems, and hardware-software advances relevant to AI for chip design.
What You'll Need
• PhD in Computer Science, Electrical Engineering, or a related field.
• At least 2 years of industry experience in Machine Learning/GenAI and MLOps.
• Industry experience in ML/AI product development and deployment.
• Deep knowledge of foundational model architectures and experience in foundation model development.
• Proficiency in programming languages such as Python, Java, or C++.
• Hands-on industry expertise in Agentic AI tools, frameworks, and best practices.
What's On Offer
• Competitive annual salary ($140,800 - $211,200) plus bonus potential and RSU grants.
• Opportunity to work on cutting-edge AI research with productization potential.
• Collaborative and interdisciplinary team environment.
• Comprehensive benefits package.
Apply via Haystack today!</x:v>
      </x:c>
      <x:c r="AC178" s="68" t="str">
        <x:v>Mid-Senior level</x:v>
      </x:c>
      <x:c r="AD178" s="68" t="str">
        <x:v>Full-time</x:v>
      </x:c>
      <x:c r="AE178" s="68" t="str">
        <x:v>Information Technology</x:v>
      </x:c>
      <x:c r="AF178" s="68" t="str">
        <x:v>Technology, Information and Internet</x:v>
      </x:c>
      <x:c r="AG178" s="68" t="str">
        <x:v>https://www.linkedin.com/jobs/search/?position=1&amp;pageNum=0&amp;keywords=AI+Engineer&amp;location=United+States&amp;distance=0&amp;f_TPR=r604800</x:v>
      </x:c>
      <x:c r="AH178" s="68" t="str">
        <x:v>{'type': 'PostalAddress', 'streetAddress': '11 Lansdowne Terrace', 'addressLocality': 'Newcastle upon Tyne', 'addressRegion': 'England', 'postalCode': 'NE3 1HL', 'addressCountry': 'GB'}</x:v>
      </x:c>
      <x:c r="AI178" s="68" t="str">
        <x:v>http://www.haystackapp.io</x:v>
      </x:c>
      <x:c r="AJ178" s="68" t="str">
        <x:v>Connecting the world's tech talent with employers that matter to them</x:v>
      </x:c>
      <x:c r="AK178" s="68" t="str">
        <x:v>Haystack combines AI &amp; expert vetting to deliver world-class tech candidates who are engaged, aligned, and ready to interview.
We're trusted by over 400,000+ tech candidates, working in Software Engineering, Data, Design, DevOps, Cloud, Tech Management, Testing, Product &amp; Delivery, Architecture and more. 
100s of employers from startups and scale-ups like Atom Bank, DuckDuckGo and Goodlord to established enterprises like American Express, Dunelm and AWS use Haystack to connect with qualified tech talent that they can't find anywhere else.</x:v>
      </x:c>
      <x:c r="AL178" s="68" t="str">
        <x:v>46.0</x:v>
      </x:c>
      <x:c r="AM178" s="68"/>
      <x:c r="AN178" s="68"/>
      <x:c r="AO178" s="68"/>
      <x:c r="AP178" s="68"/>
    </x:row>
    <x:row r="179" s="25" customFormat="1" ht="22" customHeight="1">
      <x:c r="A179" s="68" t="str">
        <x:v>4451975420</x:v>
      </x:c>
      <x:c r="B179" s="68" t="str">
        <x:v>Machine Learning Engineer II</x:v>
      </x:c>
      <x:c r="C179" s="68" t="str">
        <x:v>Kensho Technologies</x:v>
      </x:c>
      <x:c r="D179" s="68" t="str">
        <x:v>New York, NY</x:v>
      </x:c>
      <x:c r="E179" s="68" t="str">
        <x:v>Applied</x:v>
      </x:c>
      <x:c r="F179" s="68"/>
      <x:c r="G179" s="69"/>
      <x:c r="H179" s="85" t="str">
        <x:v>2026-08-11</x:v>
      </x:c>
      <x:c r="I179" s="85" t="str">
        <x:v>2026-08-12 13:18:49</x:v>
      </x:c>
      <x:c r="J179" s="68" t="str">
        <x:v>200</x:v>
      </x:c>
      <x:c r="K179" s="70"/>
      <x:c r="L179" s="86"/>
      <x:c r="M179" s="87"/>
      <x:c r="N179" s="71"/>
      <x:c r="O179" s="88"/>
      <x:c r="P179" s="89"/>
      <x:c r="Q179" s="89"/>
      <x:c r="R179" s="89"/>
      <x:c r="S179" s="73"/>
      <x:c r="T179" s="68"/>
      <x:c r="U179" s="68" t="str">
        <x:v>https://www.linkedin.com/jobs/view/machine-learning-engineer-ii-at-kensho-technologies-4451975420?position=9&amp;pageNum=9&amp;refId=wWuvrZI7qtoor%2BT5ED9n0g%3D%3D&amp;trackingId=wjD9MssjRD7uUGt0CZ%2BlEw%3D%3D</x:v>
      </x:c>
      <x:c r="V179" s="68" t="str">
        <x:v>wjD9MssjRD7uUGt0CZ+lEw==</x:v>
      </x:c>
      <x:c r="W179" s="68" t="str">
        <x:v>wWuvrZI7qtoor+T5ED9n0g==</x:v>
      </x:c>
      <x:c r="X179" s="68" t="str">
        <x:v>https://www.linkedin.com/company/kensho-technologies?trk=public_jobs_jserp-result_job-search-card-subtitle</x:v>
      </x:c>
      <x:c r="Y179" s="68" t="str">
        <x:v>https://media.licdn.com/dms/image/v2/C560BAQHQ4hJleHE7Vw/company-logo_100_100/company-logo_100_100/0/1675961374389/kensho_technologies_logo?e=2147483647&amp;v=beta&amp;t=iEEXpDbZ01m8EUg39H94NkKAn3gZyZA4t5954jL6Bq0</x:v>
      </x:c>
      <x:c r="Z179" s="68"/>
      <x:c r="AA179" s="68" t="str">
        <x:v>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useful.&lt;br&gt;&lt;br&gt;The Machine Learning (ML) Team at Kensho is redefining how powerful financial data fuels the next generation of data-driven AI workflows.&lt;br&gt;&lt;br&gt;We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interfaces.&lt;br&gt;&lt;br&gt;Our solutions are integrated into multiple S&amp;amp;P Global and third-party platforms, allowing our clients (1, 2) to leverage powerful financial data in ways that drive insights and support their strategic objectives.&lt;br&gt;&lt;br&gt;We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insights.&lt;br&gt;&lt;br&gt;If you are passionate about building the next wave of AI-driven products, thrive in a collaborative, fast-paced environment, and are eager to push the boundaries of what’s possible with data and intelligent agents, we would love to hear from you!&lt;br&gt;&lt;br&gt;Kensho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case.&lt;br&gt;&lt;br&gt;&lt;strong&gt;What You’ll Do&lt;br&gt;&lt;br&gt;&lt;/strong&gt;&lt;ul&gt;&lt;li&gt;Solve unique challenges in agentic design and LLM orchestration, including context engineering, data access patterns, memory management, and evaluation of agent performance to ensure they meet user needs effectively.&lt;/li&gt;&lt;li&gt;Participate in all stages of the ML lifecycle, from problem framing and data exploration to model experimentation, deployment, and monitoring in production, ensuring the continuous improvement and optimization of our Agentic Systems.&lt;/li&gt;&lt;li&gt;Leverage unique proprietary unstructured and structured datasets, applying advanced NLP techniques to extract insights and build solutions that drive business value.&lt;/li&gt;&lt;li&gt;Work closely with Data, Product, Design, and Engineering teams to design and develop Agents to enhance user experiences and meet business objectives.&lt;/li&gt;&lt;li&gt;Collaborate closely with the ML Operations team to create automated solutions for managing the entire ML systems lifecycle, from initial technical design to seamless implementation.&lt;br&gt;&lt;br&gt;&lt;/li&gt;&lt;/ul&gt;&lt;strong&gt;What You'll Need&lt;br&gt;&lt;br&gt;&lt;/strong&gt;&lt;ul&gt;&lt;li&gt;Bachelor's degree or higher in Computer Science, Engineering, or a related field.&lt;/li&gt;&lt;li&gt;3+ years of significant, hands-on industry experience with machine learning, natural language processing (NLP), and information retrieval systems, with a strong focus on practical applications.&lt;/li&gt;&lt;li&gt;Experience with all stages of the ML life-cycle including designing and experimenting to deploying and maintaining production systems.&lt;/li&gt;&lt;li&gt;Strong proficiency in Python, with a solid understanding of best practices in software development.&lt;/li&gt;&lt;li&gt;Experience working with machine learning libraries and frameworks for agent orchestration, such as LangGraph, pydanticAI, etc.&lt;/li&gt;&lt;li&gt;Experience in agentic design, understanding user interactions, and evaluating agent performance to enhance user experiences.&lt;/li&gt;&lt;li&gt;Demonstrated effective coding, documentation, collaboration, and communication habits.&lt;/li&gt;&lt;li&gt;Strong problem-solving skills and a proactive approach to addressing challenges.&lt;/li&gt;&lt;li&gt;Ability to adapt to a fast-paced and dynamic work environment.&lt;br&gt;&lt;br&gt;&lt;/li&gt;&lt;/ul&gt;&lt;strong&gt;Technologies &amp;amp; Tools We Use&lt;br&gt;&lt;br&gt;&lt;/strong&gt;&lt;ul&gt;&lt;li&gt;Agentic systems: Agentic Orchestration, Deep Research, Information Retrieval, Semantic Search, LLM code generation, LLM tool utilization, Textual RAG systems&lt;/li&gt;&lt;li&gt;Core ML/AI: LangGraph, Transformers, HuggingFace, LightGBM, PyTorch, SKLearn, XGBoost&lt;/li&gt;&lt;li&gt;Data Exploration &amp;amp; Visualization: Jupyter, Matplotlib, Pandas, Weights &amp;amp; Biases, Langfuse&lt;/li&gt;&lt;li&gt;Data Management &amp;amp; Storage: Apache Spark, AWS Athena, DVC, LabelBox, OpenSearch, Postgres/Pgvector, S3, SQLite&lt;/li&gt;&lt;li&gt;Deployment &amp;amp; MLOps: Arize, Airflow, AWS, DeepSpeed, Docker, Grafana, Jenkins, LangFuse, LiteLLM, Ray, vLLM&lt;/li&gt;&lt;li&gt;Prototyping &amp;amp; Development: Claude Code, FastAPI, Streamlit, Gradio&lt;br&gt;&lt;br&gt;&lt;/li&gt;&lt;/ul&gt;At Kensho, we pride ourselves on providing top-of-market benefits, including: &lt;br&gt;&lt;br&gt;&lt;ul&gt;&lt;li&gt; Medical, Dental, and Vision insurance   &lt;/li&gt;&lt;li&gt;100% company paid premiums  &lt;/li&gt;&lt;li&gt;Unlimited Paid Time Off  &lt;/li&gt;&lt;li&gt;26 weeks of 100% paid Parental Leave (paternity and maternity)  &lt;/li&gt;&lt;li&gt;401(k) plan with 6% employer matching  &lt;/li&gt;&lt;li&gt;Generous company matching on donations to non-profit charities  &lt;/li&gt;&lt;li&gt;Up to $20,000 tuition assistance toward degree programs, plus up to $4,000/year for ongoing professional education such as industry conferences  &lt;/li&gt;&lt;li&gt;Plentiful snacks, drinks, and regularly catered lunches  &lt;/li&gt;&lt;li&gt;Dog-friendly office (CAM office)  &lt;/li&gt;&lt;li&gt;Bike sharing program memberships  &lt;/li&gt;&lt;li&gt;Compassion leave and elder care leave  &lt;/li&gt;&lt;li&gt;Mentoring and additional learning opportunities  &lt;/li&gt;&lt;li&gt;Opportunity to expand professional network and participate in conferences and events &lt;br&gt;&lt;br&gt;&lt;/li&gt;&lt;/ul&gt;&lt;strong&gt;Recruitment Fraud Alert&lt;br&gt;&lt;br&gt;&lt;/strong&gt;If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here.&lt;br&gt;&lt;br&gt;We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origin.&lt;br&gt;&lt;br&gt;&lt;strong&gt;Job ID:&lt;/strong&gt; 330646&lt;br&gt;&lt;br&gt;&lt;strong&gt;Posted On:&lt;/strong&gt; 2026-08-11&lt;br&gt;&lt;br&gt;&lt;strong&gt;Location:&lt;/strong&gt; New York, New York, United States</x:v>
      </x:c>
      <x:c r="AB179" s="68" t="str">
        <x:v>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The Machine Learning (ML) Team at Kensho is redefining how powerful financial data fuels the next generation of data-driven AI workflows.
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
Our solutions are integrated into multiple S&amp;amp;P Global and third-party platforms, allowing our clients (1, 2) to leverage powerful financial data in ways that drive insights and support their strategic objectives.
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
If you are passionate about building the next wave of AI-driven products, thrive in a collaborative, fast-paced environment, and are eager to push the boundaries of what’s possible with data and intelligent agents, we would love to hear from you!
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Solve unique challenges in agentic design and LLM orchestration, including context engineering, data access patterns, memory management, and evaluation of agent performance to ensure they meet user needs effectively.
- Participate in all stages of the ML lifecycle, from problem framing and data exploration to model experimentation, deployment, and monitoring in production, ensuring the continuous improvement and optimization of our Agentic Systems.
- Leverage unique proprietary unstructured and structured datasets, applying advanced NLP techniques to extract insights and build solutions that drive business value.
- Work closely with Data, Product, Design, and Engineering teams to design and develop Agents to enhance user experiences and meet business objectives.
- Collaborate closely with the ML Operations team to create automated solutions for managing the entire ML systems lifecycle, from initial technical design to seamless implementation.
What You'll Need
- Bachelor's degree or higher in Computer Science, Engineering, or a related field.
- 3+ years of significant, hands-on industry experience with machine learning, natural language processing (NLP), and information retrieval systems, with a strong focus on practical applications.
- Experience with all stages of the ML life-cycle including designing and experimenting to deploying and maintaining production systems.
- Strong proficiency in Python, with a solid understanding of best practices in software development.
- Experience working with machine learning libraries and frameworks for agent orchestration, such as LangGraph, pydanticAI, etc.
- Experience in agentic design, understanding user interactions, and evaluating agent performance to enhance user experiences.
- Demonstrated effective coding, documentation, collaboration, and communication habits.
- Strong problem-solving skills and a proactive approach to addressing challenges.
- Ability to adapt to a fast-paced and dynamic work environment.
Technologies &amp;amp; Tools We Use
- Agentic systems: Agentic Orchestration, Deep Research, Information Retrieval, Semantic Search, LLM code generation, LLM tool utilization, Textual RAG systems
- Core ML/AI: LangGraph, Transformers, HuggingFace, LightGBM, PyTorch, SKLearn, XGBoost
- Data Exploration &amp;amp; Visualization: Jupyter, Matplotlib, Pandas, Weights &amp;amp; Biases, Langfuse
- Data Management &amp;amp; Storage: Apache Spark, AWS Athena, DVC, LabelBox, OpenSearch, Postgres/Pgvector, S3, SQLite
- Deployment &amp;amp; MLOps: Arize, Airflow, AWS, DeepSpeed, Docker, Grafana, Jenkins, LangFuse, LiteLLM, Ray, vLLM
- Prototyping &amp;amp; Development: Claude Code, FastAPI, Streamlit, Gradio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330646
Posted On: 2026-08-11
Location: New York, New York, United States</x:v>
      </x:c>
      <x:c r="AC179" s="68" t="str">
        <x:v>Not Applicable</x:v>
      </x:c>
      <x:c r="AD179" s="68" t="str">
        <x:v>Full-time</x:v>
      </x:c>
      <x:c r="AE179" s="68" t="str">
        <x:v>Engineering and Information Technology</x:v>
      </x:c>
      <x:c r="AF179" s="68" t="str">
        <x:v>Software Development</x:v>
      </x:c>
      <x:c r="AG179" s="68" t="str">
        <x:v>https://www.linkedin.com/jobs/search/?position=1&amp;pageNum=0&amp;keywords=AI+Engineer&amp;location=United+States&amp;distance=0&amp;f_TPR=r604800</x:v>
      </x:c>
      <x:c r="AH179" s="68" t="str">
        <x:v>{'type': 'PostalAddress', 'streetAddress': '44 Brattle Street', 'addressLocality': 'Cambridge', 'addressRegion': 'MA', 'postalCode': '02138', 'addressCountry': 'US'}</x:v>
      </x:c>
      <x:c r="AI179" s="68" t="str">
        <x:v>https://www.kensho.com</x:v>
      </x:c>
      <x:c r="AJ179" s="68" t="str">
        <x:v>S&amp;P Global’s hub for AI innovation and transformation</x:v>
      </x:c>
      <x:c r="AK179" s="68" t="str">
        <x:v> Kensho is S&amp;P Global’s hub for AI innovation and transformation. Our vision is to help S&amp;P Global leverage cutting-edge tech to become the world’s most trusted and innovative data, benchmarks, and ratings company in the world. With engineers comprising over 75% of our ~150-person team, Kensho is an engineering-driven culture, laser focused on building products that solve our customers’ complex problems. Kensho is headquartered in Cambridge, Massachusetts with an office in New York City.</x:v>
      </x:c>
      <x:c r="AL179" s="68" t="str">
        <x:v>187.0</x:v>
      </x:c>
      <x:c r="AM179" s="68"/>
      <x:c r="AN179" s="68"/>
      <x:c r="AO179" s="68"/>
      <x:c r="AP179" s="68"/>
    </x:row>
    <x:row r="180" s="25" customFormat="1" ht="22" customHeight="1">
      <x:c r="A180" s="68" t="str">
        <x:v>4450126000</x:v>
      </x:c>
      <x:c r="B180" s="68" t="str">
        <x:v>Applied AI Engineer</x:v>
      </x:c>
      <x:c r="C180" s="68" t="str">
        <x:v>NVIDIA AI</x:v>
      </x:c>
      <x:c r="D180" s="68" t="str">
        <x:v>Santa Clara, CA</x:v>
      </x:c>
      <x:c r="E180" s="68" t="str">
        <x:v>Not Applied</x:v>
      </x:c>
      <x:c r="F180" s="68"/>
      <x:c r="G180" s="69"/>
      <x:c r="H180" s="85" t="str">
        <x:v>2026-08-12</x:v>
      </x:c>
      <x:c r="I180" s="85" t="str">
        <x:v>2026-08-12 13:18:49</x:v>
      </x:c>
      <x:c r="J180" s="68" t="str">
        <x:v>86</x:v>
      </x:c>
      <x:c r="K180" s="70"/>
      <x:c r="L180" s="86"/>
      <x:c r="M180" s="87"/>
      <x:c r="N180" s="71"/>
      <x:c r="O180" s="88"/>
      <x:c r="P180" s="89"/>
      <x:c r="Q180" s="89"/>
      <x:c r="R180" s="89"/>
      <x:c r="S180" s="73"/>
      <x:c r="T180" s="68"/>
      <x:c r="U180" s="68" t="str">
        <x:v>https://www.linkedin.com/jobs/view/applied-ai-engineer-at-nvidia-ai-4450126000?position=2&amp;pageNum=9&amp;refId=wWuvrZI7qtoor%2BT5ED9n0g%3D%3D&amp;trackingId=g9RjrrcjONcij7VrdULOBA%3D%3D</x:v>
      </x:c>
      <x:c r="V180" s="68" t="str">
        <x:v>g9RjrrcjONcij7VrdULOBA==</x:v>
      </x:c>
      <x:c r="W180" s="68" t="str">
        <x:v>wWuvrZI7qtoor+T5ED9n0g==</x:v>
      </x:c>
      <x:c r="X180" s="68" t="str">
        <x:v>https://www.linkedin.com/showcase/nvidia-ai/?trk=public_jobs_jserp-result_job-search-card-subtitle</x:v>
      </x:c>
      <x:c r="Y180" s="68" t="str">
        <x:v>https://media.licdn.com/dms/image/v2/D560BAQGe-H392ULJ-Q/company-logo_100_100/company-logo_100_100/0/1724882065232/nvidia_ai_logo?e=2147483647&amp;v=beta&amp;t=RAT2j9BRLoVX54vWraaJYhN7AZFZDRCECFRyUHVjSQ4</x:v>
      </x:c>
      <x:c r="Z180" s="68"/>
      <x:c r="AA180" s="68" t="str">
        <x:v>Job Requisition ID&lt;br&gt;&lt;br&gt;JR2018181&lt;br&gt;&lt;br&gt;Job Category&lt;br&gt;&lt;br&gt;Engineering&lt;br&gt;&lt;br&gt;Time Type&lt;br&gt;&lt;br&gt;Full time&lt;br&gt;&lt;br&gt;NVIDIA's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x:v>
      </x:c>
      <x:c r="AB180" s="68" t="str">
        <x:v>Job Requisition ID
JR2018181
Job Category
Engineering
Time Type
Full time
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x:v>
      </x:c>
      <x:c r="AC180" s="68" t="str">
        <x:v>Not Applicable</x:v>
      </x:c>
      <x:c r="AD180" s="68" t="str">
        <x:v>Full-time</x:v>
      </x:c>
      <x:c r="AE180" s="68" t="str">
        <x:v>Engineering and Information Technology</x:v>
      </x:c>
      <x:c r="AF180" s="68" t="str">
        <x:v>Computer Hardware Manufacturing</x:v>
      </x:c>
      <x:c r="AG180" s="68" t="str">
        <x:v>https://www.linkedin.com/jobs/search/?position=1&amp;pageNum=0&amp;keywords=AI+Engineer&amp;location=United+States&amp;distance=0&amp;f_TPR=r604800</x:v>
      </x:c>
      <x:c r="AH180" s="68" t="str">
        <x:v>{'type': 'PostalAddress', 'streetAddress': '2788 San Tomas Expressway', 'addressLocality': 'Santa Clara', 'addressRegion': 'CA', 'postalCode': '95051', 'addressCountry': 'US'}</x:v>
      </x:c>
      <x:c r="AI180" s="68" t="str">
        <x:v>https://developer.nvidia.com/blog/</x:v>
      </x:c>
      <x:c r="AJ180" s="68"/>
      <x:c r="AK180" s="68" t="str">
        <x:v>Explore the latest breakthroughs made possible with AI. 
From deep learning model training and large-scale inference to enhancing operational efficiencies and customer experience, discover how AI is driving innovation and redefining the way organizations operate across industries.</x:v>
      </x:c>
      <x:c r="AL180" s="68" t="str">
        <x:v>1.0</x:v>
      </x:c>
      <x:c r="AM180" s="68"/>
      <x:c r="AN180" s="68"/>
      <x:c r="AO180" s="68"/>
      <x:c r="AP180" s="68"/>
    </x:row>
    <x:row r="181" s="25" customFormat="1" ht="22" customHeight="1">
      <x:c r="A181" s="68" t="str">
        <x:v>4451693317</x:v>
      </x:c>
      <x:c r="B181" s="68" t="str">
        <x:v>Artificial Intelligence Engineer</x:v>
      </x:c>
      <x:c r="C181" s="68" t="str">
        <x:v>Centraprise</x:v>
      </x:c>
      <x:c r="D181" s="68" t="str">
        <x:v>United States</x:v>
      </x:c>
      <x:c r="E181" s="68" t="str">
        <x:v>Not Applied</x:v>
      </x:c>
      <x:c r="F181" s="68"/>
      <x:c r="G181" s="69"/>
      <x:c r="H181" s="85" t="str">
        <x:v>2026-08-11</x:v>
      </x:c>
      <x:c r="I181" s="85" t="str">
        <x:v>2026-08-12 13:18:49</x:v>
      </x:c>
      <x:c r="J181" s="68" t="str">
        <x:v>200</x:v>
      </x:c>
      <x:c r="K181" s="70"/>
      <x:c r="L181" s="86"/>
      <x:c r="M181" s="87"/>
      <x:c r="N181" s="71"/>
      <x:c r="O181" s="88"/>
      <x:c r="P181" s="89"/>
      <x:c r="Q181" s="89"/>
      <x:c r="R181" s="89"/>
      <x:c r="S181" s="73"/>
      <x:c r="T181" s="68"/>
      <x:c r="U181" s="68" t="str">
        <x:v>https://www.linkedin.com/jobs/view/artificial-intelligence-engineer-at-centraprise-4451693317?position=3&amp;pageNum=9&amp;refId=wWuvrZI7qtoor%2BT5ED9n0g%3D%3D&amp;trackingId=37T6Q4ouToLLGvgXpLcVLQ%3D%3D</x:v>
      </x:c>
      <x:c r="V181" s="68" t="str">
        <x:v>37T6Q4ouToLLGvgXpLcVLQ==</x:v>
      </x:c>
      <x:c r="W181" s="68" t="str">
        <x:v>wWuvrZI7qtoor+T5ED9n0g==</x:v>
      </x:c>
      <x:c r="X181" s="68" t="str">
        <x:v>https://www.linkedin.com/company/centraprise?trk=public_jobs_jserp-result_job-search-card-subtitle</x:v>
      </x:c>
      <x:c r="Y181" s="68" t="str">
        <x:v>https://media.licdn.com/dms/image/v2/D560BAQFb7FKLdX21gw/company-logo_100_100/company-logo_100_100/0/1719612051806/centraprise_logo?e=2147483647&amp;v=beta&amp;t=l9GZkPujfV2oJMQjWc8oStF-ZxopQC-RUOaRmVBaN6c</x:v>
      </x:c>
      <x:c r="Z181" s="68"/>
      <x:c r="AA181" s="68" t="str">
        <x:v>&lt;p&gt;Job Role: &lt;strong&gt;AI Developer&lt;/strong&gt;&lt;/p&gt;&lt;p&gt;Job Type: &lt;strong&gt;Full time/ Permanent&lt;/strong&gt;&lt;/p&gt;&lt;p&gt;Location: &lt;strong&gt;Remote&lt;/strong&gt;&lt;/p&gt;&lt;p&gt;&lt;br&gt;&lt;/p&gt;&lt;p&gt;&lt;strong&gt;Job Description:&lt;/strong&gt;&lt;/p&gt;&lt;p&gt;&lt;strong&gt;Must Have Technical/Functional Skills&lt;/strong&gt;&lt;/p&gt;&lt;ul&gt;&lt;li&gt;AI Developer, Test support, Strong documentation and problem-solving skills&lt;/li&gt;&lt;li&gt;AI‑enabled delivery, configuration, testing, and quality practices&lt;/li&gt;&lt;li&gt;Exposure to ServiceNow, platform configuration, or technical design concepts&lt;/li&gt;&lt;li&gt;Comfortable performing peer reviews, smoke testing, and troubleshooting technical issues&lt;/li&gt;&lt;li&gt;Ability to collaborate across EMEA, APAC, and AMS teams in a fast‑paced, pilot‑driven environment&lt;/li&gt;&lt;li&gt;Strong documentation and problem‑solving skills&lt;/li&gt;&lt;li&gt;AI Cloud Architecture and development (not required but nice to have)&lt;/li&gt;&lt;/ul&gt;&lt;p&gt;&lt;br&gt;&lt;/p&gt;&lt;p&gt;&lt;strong&gt;Roles &amp;amp; Responsibilities&lt;/strong&gt;&lt;/p&gt;&lt;ul&gt;&lt;li&gt;Development &amp;amp; Enhancement of AI Agent Products&lt;/li&gt;&lt;li&gt;Contribute to the development and enhancement of AI Agent products, including:&lt;/li&gt;&lt;li&gt;Technical Design Agents&lt;/li&gt;&lt;li&gt;Configuration (Config) Agent&lt;/li&gt;&lt;li&gt;AI Testing and Quality‑focused agents&lt;/li&gt;&lt;li&gt;Support ongoing refinement of agent logic, prompts, and behaviours to improve accuracy, reliability, and usability.&lt;/li&gt;&lt;/ul&gt;&lt;p&gt;&lt;br&gt;&lt;/p&gt;&lt;p&gt;&lt;strong&gt;Generic Managerial Skills, If any&lt;/strong&gt;&lt;/p&gt;&lt;ul&gt;&lt;li&gt;Ability to collaborate across EMEA, APAC, and AMS teams in a fast‑paced, pilot‑driven environment&lt;/li&gt;&lt;li&gt;Strong documentation and problem‑solving skills&lt;/li&gt;&lt;/ul&gt;&lt;p&gt;&lt;br&gt;&lt;/p&gt;&lt;p&gt;&lt;em&gt;"&lt;/em&gt;&lt;strong&gt;&lt;em&gt;Centraprise is an equal opportunity employer. Applicants must be authorized to work in the U.S. U.S. citizens and Green Card holders are strongly encouraged to apply&lt;/em&gt;&lt;/strong&gt;&lt;em&gt;."&lt;/em&gt;&lt;/p&gt;&lt;p&gt;&lt;br&gt;&lt;/p&gt;&lt;p&gt;&lt;strong&gt; Thanks &amp;amp; Regards&lt;/strong&gt;&lt;/p&gt;&lt;p&gt;&lt;/p&gt;</x:v>
      </x:c>
      <x:c r="AB181" s="68" t="str">
        <x:v>
Job Role: AI Developer
Job Type: Full time/ Permanent
Location: Remote
Job Description:
Must Have Technical/Functional Skills
- AI Developer, Test support, Strong documentation and problem-solving skills
- AI‑enabled delivery, configuration, testing, and quality practices
- Exposure to ServiceNow, platform configuration, or technical design concepts
- Comfortable performing peer reviews, smoke testing, and troubleshooting technical issues
- Ability to collaborate across EMEA, APAC, and AMS teams in a fast‑paced, pilot‑driven environment
- Strong documentation and problem‑solving skills
- AI Cloud Architecture and development (not required but nice to have)
Roles &amp;amp; Responsibilities
- Development &amp;amp; Enhancement of AI Agent Products
- Contribute to the development and enhancement of AI Agent products, including:
- Technical Design Agents
- Configuration (Config) Agent
- AI Testing and Quality‑focused agents
- Support ongoing refinement of agent logic, prompts, and behaviours to improve accuracy, reliability, and usability.
Generic Managerial Skills, If any
- Ability to collaborate across EMEA, APAC, and AMS teams in a fast‑paced, pilot‑driven environment
- Strong documentation and problem‑solving skills
"Centraprise is an equal opportunity employer. Applicants must be authorized to work in the U.S. U.S. citizens and Green Card holders are strongly encouraged to apply."
 Thanks &amp;amp; Regards
</x:v>
      </x:c>
      <x:c r="AC181" s="68" t="str">
        <x:v>Mid-Senior level</x:v>
      </x:c>
      <x:c r="AD181" s="68" t="str">
        <x:v>Full-time</x:v>
      </x:c>
      <x:c r="AE181" s="68" t="str">
        <x:v>Information Technology</x:v>
      </x:c>
      <x:c r="AF181" s="68" t="str">
        <x:v>IT Services and IT Consulting</x:v>
      </x:c>
      <x:c r="AG181" s="68" t="str">
        <x:v>https://www.linkedin.com/jobs/search/?position=1&amp;pageNum=0&amp;keywords=AI+Engineer&amp;location=United+States&amp;distance=0&amp;f_TPR=r604800</x:v>
      </x:c>
      <x:c r="AH181" s="68" t="str">
        <x:v>{'type': 'PostalAddress', 'streetAddress': '33 Wood Ave S', 'addressLocality': 'Iselin', 'addressRegion': 'New Jersey', 'postalCode': '08830', 'addressCountry': 'US'}</x:v>
      </x:c>
      <x:c r="AI181" s="68" t="str">
        <x:v>http://www.centraprise.com</x:v>
      </x:c>
      <x:c r="AJ181" s="68" t="str">
        <x:v>Working with simple Aim to keep  all the Consultants and Customers Happy  </x:v>
      </x:c>
      <x:c r="AK181" s="68" t="str">
        <x:v>At Centraprise, we foster a collaborative approach in delivering top-quality IT consulting and services to our clients. With a steadfast commitment to growth and innovation, we aspire to inspire the industry of tomorrow by providing cutting-edge solutions that drive productivity and quality.
</x:v>
      </x:c>
      <x:c r="AL181" s="68" t="str">
        <x:v>322.0</x:v>
      </x:c>
      <x:c r="AM181" s="68" t="str">
        <x:v>Syed Ahmed</x:v>
      </x:c>
      <x:c r="AN181" s="68" t="str">
        <x:v>Delivery Manager</x:v>
      </x:c>
      <x:c r="AO181" s="68" t="str">
        <x:v>https://static.licdn.com/aero-v1/sc/h/9c8pery4andzj6ohjkjp54ma2</x:v>
      </x:c>
      <x:c r="AP181" s="68" t="str">
        <x:v>https://www.linkedin.com/in/syed-ahmed-39b228210</x:v>
      </x:c>
    </x:row>
  </x:sheetData>
  <x:conditionalFormatting sqref="E2:E181">
    <x:cfRule type="containsText" dxfId="10" priority="1" operator="containsText" text="Applied"/>
    <x:cfRule type="containsText" dxfId="11" priority="2" operator="containsText" text="Failed"/>
    <x:cfRule type="containsText" dxfId="12" priority="3" operator="containsText" text="In Progress"/>
    <x:cfRule type="containsText" dxfId="13" priority="4" operator="containsText" text="Not Applied"/>
    <x:cfRule type="containsText" dxfId="14" priority="5" operator="containsText" text="CAPTCHA"/>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2" width="14" style="24" customWidth="1"/>
    <x:col min="3" max="3" width="3" style="24" hidden="0" customWidth="1"/>
    <x:col min="4" max="5" width="14" style="24" customWidth="1"/>
    <x:col min="6" max="6" width="3" style="24" hidden="0" customWidth="1"/>
    <x:col min="7" max="10" width="14" style="24" customWidth="1"/>
    <x:col min="1" max="1" width="14" hidden="0" customWidth="1"/>
    <x:col min="2" max="2" width="14" hidden="0" customWidth="1"/>
    <x:col min="4" max="4" width="14" hidden="0" customWidth="1"/>
    <x:col min="5" max="5" width="14" hidden="0" customWidth="1"/>
    <x:col min="7" max="7" width="14" hidden="0" customWidth="1"/>
    <x:col min="8" max="8" width="14" hidden="0" customWidth="1"/>
    <x:col min="9" max="9" width="14" hidden="0" customWidth="1"/>
    <x:col min="10" max="10" width="14" hidden="0" customWidth="1"/>
  </x:cols>
  <x:sheetData>
    <x:row r="1" s="25" customFormat="1" ht="30" customHeight="1">
      <x:c r="A1" s="191" t="str">
        <x:v>Job Application Command Center</x:v>
      </x:c>
      <x:c r="B1" s="191"/>
      <x:c r="C1" s="191"/>
      <x:c r="D1" s="191"/>
      <x:c r="E1" s="191"/>
      <x:c r="F1" s="191"/>
      <x:c r="G1" s="191"/>
      <x:c r="H1" s="191"/>
      <x:c r="I1" s="191"/>
      <x:c r="J1" s="191"/>
    </x:row>
    <x:row r="2" s="25" customFormat="1" ht="30" customHeight="1">
      <x:c r="A2" s="191"/>
      <x:c r="B2" s="191"/>
      <x:c r="C2" s="191"/>
      <x:c r="D2" s="191"/>
      <x:c r="E2" s="191"/>
      <x:c r="F2" s="191"/>
      <x:c r="G2" s="191"/>
      <x:c r="H2" s="191"/>
      <x:c r="I2" s="191"/>
      <x:c r="J2" s="191"/>
    </x:row>
    <x:row r="3" s="25" customFormat="1" ht="24" customHeight="1">
      <x:c r="A3" s="194" t="str">
        <x:v>A focused view of pipeline health, application effort, and cost</x:v>
      </x:c>
      <x:c r="B3" s="194"/>
      <x:c r="C3" s="194"/>
      <x:c r="D3" s="194"/>
      <x:c r="E3" s="194"/>
      <x:c r="F3" s="194"/>
      <x:c r="G3" s="194"/>
      <x:c r="H3" s="194"/>
      <x:c r="I3" s="194"/>
      <x:c r="J3" s="194"/>
    </x:row>
    <x:row r="4" s="25" customFormat="1" ht="22" customHeight="1">
      <x:c r="A4" s="90"/>
      <x:c r="B4" s="90"/>
      <x:c r="C4" s="90"/>
      <x:c r="D4" s="90"/>
      <x:c r="E4" s="90"/>
      <x:c r="F4" s="90"/>
      <x:c r="G4" s="90"/>
      <x:c r="H4" s="90"/>
      <x:c r="I4" s="90"/>
      <x:c r="J4" s="90"/>
    </x:row>
    <x:row r="5" s="25" customFormat="1" ht="22" customHeight="1">
      <x:c r="A5" s="201" t="str">
        <x:v>TOTAL JOBS</x:v>
      </x:c>
      <x:c r="B5" s="202" t="str">
        <x:v>TOTAL JOBS</x:v>
      </x:c>
      <x:c r="C5" s="90"/>
      <x:c r="D5" s="201" t="str">
        <x:v>APPLIED</x:v>
      </x:c>
      <x:c r="E5" s="202" t="str">
        <x:v>APPLIED</x:v>
      </x:c>
      <x:c r="F5" s="90"/>
      <x:c r="G5" s="201" t="str">
        <x:v>IN PROGRESS</x:v>
      </x:c>
      <x:c r="H5" s="202" t="str">
        <x:v>IN PROGRESS</x:v>
      </x:c>
      <x:c r="I5" s="201" t="str">
        <x:v>NEEDS ATTENTION</x:v>
      </x:c>
      <x:c r="J5" s="202" t="str">
        <x:v>NEEDS ATTENTION</x:v>
      </x:c>
    </x:row>
    <x:row r="6" s="25" customFormat="1" ht="22" customHeight="1">
      <x:c r="A6" s="217" t="n">
        <x:f>COUNTA('Applications'!$A$2:$A$5000)</x:f>
        <x:v>180</x:v>
      </x:c>
      <x:c r="B6" s="218"/>
      <x:c r="C6" s="90"/>
      <x:c r="D6" s="217" t="n">
        <x:f>COUNTIF('Applications'!$E$2:$E$5000,"Applied")</x:f>
        <x:v>114</x:v>
      </x:c>
      <x:c r="E6" s="218"/>
      <x:c r="F6" s="90"/>
      <x:c r="G6" s="217" t="n">
        <x:f>COUNTIF('Applications'!$E$2:$E$5000,"In Progress")</x:f>
        <x:v>8</x:v>
      </x:c>
      <x:c r="H6" s="218"/>
      <x:c r="I6" s="217" t="n">
        <x:f>COUNTIF('Applications'!$E$2:$E$5000,"Failed")+COUNTIF('Applications'!$E$2:$E$5000,"Requires CAPTCHA")</x:f>
        <x:v>44</x:v>
      </x:c>
      <x:c r="J6" s="218"/>
    </x:row>
    <x:row r="7" s="25" customFormat="1" ht="22" customHeight="1">
      <x:c r="A7" s="219"/>
      <x:c r="B7" s="220"/>
      <x:c r="C7" s="90"/>
      <x:c r="D7" s="219"/>
      <x:c r="E7" s="220"/>
      <x:c r="F7" s="90"/>
      <x:c r="G7" s="219"/>
      <x:c r="H7" s="220"/>
      <x:c r="I7" s="219"/>
      <x:c r="J7" s="220"/>
    </x:row>
    <x:row r="8" s="25" customFormat="1" ht="22" customHeight="1">
      <x:c r="A8" s="90"/>
      <x:c r="B8" s="90"/>
      <x:c r="C8" s="90"/>
      <x:c r="D8" s="90"/>
      <x:c r="E8" s="90"/>
      <x:c r="F8" s="90"/>
      <x:c r="G8" s="90"/>
      <x:c r="H8" s="90"/>
      <x:c r="I8" s="90"/>
      <x:c r="J8" s="90"/>
    </x:row>
    <x:row r="9" s="25" customFormat="1" ht="22" customHeight="1">
      <x:c r="A9" s="90"/>
      <x:c r="B9" s="90"/>
      <x:c r="C9" s="90"/>
      <x:c r="D9" s="90"/>
      <x:c r="E9" s="90"/>
      <x:c r="F9" s="90"/>
      <x:c r="G9" s="90"/>
      <x:c r="H9" s="90"/>
      <x:c r="I9" s="90"/>
      <x:c r="J9" s="90"/>
    </x:row>
    <x:row r="10" s="25" customFormat="1" ht="22" customHeight="1">
      <x:c r="A10" s="201" t="str">
        <x:v>TOTAL COST</x:v>
      </x:c>
      <x:c r="B10" s="202" t="str">
        <x:v>TOTAL COST</x:v>
      </x:c>
      <x:c r="C10" s="90"/>
      <x:c r="D10" s="201" t="str">
        <x:v>AVG COST / JOB</x:v>
      </x:c>
      <x:c r="E10" s="202" t="str">
        <x:v>AVG COST / JOB</x:v>
      </x:c>
      <x:c r="F10" s="90"/>
      <x:c r="G10" s="201" t="str">
        <x:v>AVG MINUTES</x:v>
      </x:c>
      <x:c r="H10" s="202" t="str">
        <x:v>AVG MINUTES</x:v>
      </x:c>
      <x:c r="I10" s="201" t="str">
        <x:v>AVG TOOL CALLS</x:v>
      </x:c>
      <x:c r="J10" s="202" t="str">
        <x:v>AVG TOOL CALLS</x:v>
      </x:c>
    </x:row>
    <x:row r="11" s="25" customFormat="1" ht="22" customHeight="1">
      <x:c r="A11" s="229" t="n">
        <x:f>SUM('Applications'!$P$2:$P$5000)</x:f>
        <x:v>0.46577043</x:v>
      </x:c>
      <x:c r="B11" s="230"/>
      <x:c r="C11" s="90"/>
      <x:c r="D11" s="229" t="n">
        <x:f>IFERROR(AVERAGE('Applications'!$P$2:$P$5000),0)</x:f>
        <x:v>0.05175227</x:v>
      </x:c>
      <x:c r="E11" s="230"/>
      <x:c r="F11" s="90"/>
      <x:c r="G11" s="241" t="n">
        <x:f>IFERROR(AVERAGE('Applications'!$N$2:$N$5000)/60,0)</x:f>
        <x:v>12.123751851851853</x:v>
      </x:c>
      <x:c r="H11" s="242"/>
      <x:c r="I11" s="241" t="n">
        <x:f>IFERROR(AVERAGE('Applications'!$O$2:$O$5000),0)</x:f>
        <x:v>47</x:v>
      </x:c>
      <x:c r="J11" s="242"/>
    </x:row>
    <x:row r="12" s="25" customFormat="1" ht="22" customHeight="1">
      <x:c r="A12" s="231"/>
      <x:c r="B12" s="232"/>
      <x:c r="C12" s="90"/>
      <x:c r="D12" s="231"/>
      <x:c r="E12" s="232"/>
      <x:c r="F12" s="90"/>
      <x:c r="G12" s="243"/>
      <x:c r="H12" s="244"/>
      <x:c r="I12" s="243"/>
      <x:c r="J12" s="244"/>
    </x:row>
    <x:row r="13" s="25" customFormat="1" ht="22" customHeight="1">
      <x:c r="A13" s="90"/>
      <x:c r="B13" s="90"/>
      <x:c r="C13" s="90"/>
      <x:c r="D13" s="90"/>
      <x:c r="E13" s="90"/>
      <x:c r="F13" s="90"/>
      <x:c r="G13" s="90"/>
      <x:c r="H13" s="90"/>
      <x:c r="I13" s="90"/>
      <x:c r="J13" s="90"/>
    </x:row>
    <x:row r="14" s="25" customFormat="1" ht="22" customHeight="1">
      <x:c r="A14" s="90"/>
      <x:c r="B14" s="90"/>
      <x:c r="C14" s="90"/>
      <x:c r="D14" s="90"/>
      <x:c r="E14" s="90"/>
      <x:c r="F14" s="90"/>
      <x:c r="G14" s="90"/>
      <x:c r="H14" s="90"/>
      <x:c r="I14" s="90"/>
      <x:c r="J14" s="90"/>
    </x:row>
    <x:row r="15" s="25" customFormat="1" ht="22" customHeight="1">
      <x:c r="A15" s="247" t="str">
        <x:v>STATUS</x:v>
      </x:c>
      <x:c r="B15" s="248" t="str">
        <x:v>JOBS</x:v>
      </x:c>
      <x:c r="C15" s="90"/>
      <x:c r="D15" s="90"/>
      <x:c r="E15" s="90"/>
      <x:c r="F15" s="90"/>
      <x:c r="G15" s="90"/>
      <x:c r="H15" s="90"/>
      <x:c r="I15" s="90"/>
      <x:c r="J15" s="90"/>
    </x:row>
    <x:row r="16" s="25" customFormat="1" ht="22" customHeight="1">
      <x:c r="A16" s="150" t="str">
        <x:v>Applied</x:v>
      </x:c>
      <x:c r="B16" s="158" t="n">
        <x:f>COUNTIF('Applications'!$E$2:$E$5000,A16)</x:f>
        <x:v>114</x:v>
      </x:c>
      <x:c r="C16" s="90"/>
      <x:c r="D16" s="90"/>
      <x:c r="E16" s="90"/>
      <x:c r="F16" s="90"/>
      <x:c r="G16" s="90"/>
      <x:c r="H16" s="90"/>
      <x:c r="I16" s="90"/>
      <x:c r="J16" s="90"/>
    </x:row>
    <x:row r="17" s="25" customFormat="1" ht="22" customHeight="1">
      <x:c r="A17" s="150" t="str">
        <x:v>Failed</x:v>
      </x:c>
      <x:c r="B17" s="158" t="n">
        <x:f>COUNTIF('Applications'!$E$2:$E$5000,A17)</x:f>
        <x:v>36</x:v>
      </x:c>
      <x:c r="C17" s="90"/>
      <x:c r="D17" s="90"/>
      <x:c r="E17" s="90"/>
      <x:c r="F17" s="90"/>
      <x:c r="G17" s="90"/>
      <x:c r="H17" s="90"/>
      <x:c r="I17" s="90"/>
      <x:c r="J17" s="90"/>
    </x:row>
    <x:row r="18" s="25" customFormat="1" ht="22" customHeight="1">
      <x:c r="A18" s="150" t="str">
        <x:v>Not Applied</x:v>
      </x:c>
      <x:c r="B18" s="158" t="n">
        <x:f>COUNTIF('Applications'!$E$2:$E$5000,A18)</x:f>
        <x:v>14</x:v>
      </x:c>
      <x:c r="C18" s="90"/>
      <x:c r="D18" s="90"/>
      <x:c r="E18" s="90"/>
      <x:c r="F18" s="90"/>
      <x:c r="G18" s="90"/>
      <x:c r="H18" s="90"/>
      <x:c r="I18" s="90"/>
      <x:c r="J18" s="90"/>
    </x:row>
    <x:row r="19" s="25" customFormat="1" ht="22" customHeight="1">
      <x:c r="A19" s="150" t="str">
        <x:v>In Progress</x:v>
      </x:c>
      <x:c r="B19" s="158" t="n">
        <x:f>COUNTIF('Applications'!$E$2:$E$5000,A19)</x:f>
        <x:v>8</x:v>
      </x:c>
      <x:c r="C19" s="90"/>
      <x:c r="D19" s="90"/>
      <x:c r="E19" s="90"/>
      <x:c r="F19" s="90"/>
      <x:c r="G19" s="90"/>
      <x:c r="H19" s="90"/>
      <x:c r="I19" s="90"/>
      <x:c r="J19" s="90"/>
    </x:row>
    <x:row r="20" s="25" customFormat="1" ht="22" customHeight="1">
      <x:c r="A20" s="152" t="str">
        <x:v>Requires CAPTCHA</x:v>
      </x:c>
      <x:c r="B20" s="159" t="n">
        <x:f>COUNTIF('Applications'!$E$2:$E$5000,A20)</x:f>
        <x:v>8</x:v>
      </x:c>
      <x:c r="C20" s="90"/>
      <x:c r="D20" s="90"/>
      <x:c r="E20" s="90"/>
      <x:c r="F20" s="90"/>
      <x:c r="G20" s="90"/>
      <x:c r="H20" s="90"/>
      <x:c r="I20" s="90"/>
      <x:c r="J20" s="90"/>
    </x:row>
    <x:row r="21" s="25" customFormat="1" ht="22" customHeight="1">
      <x:c r="A21" s="90"/>
      <x:c r="B21" s="90"/>
      <x:c r="C21" s="90"/>
      <x:c r="D21" s="90"/>
      <x:c r="E21" s="90"/>
      <x:c r="F21" s="90"/>
      <x:c r="G21" s="90"/>
      <x:c r="H21" s="90"/>
      <x:c r="I21" s="90"/>
      <x:c r="J21" s="90"/>
    </x:row>
    <x:row r="22" s="25" customFormat="1" ht="22" customHeight="1">
      <x:c r="A22" s="90"/>
      <x:c r="B22" s="90"/>
      <x:c r="C22" s="90"/>
      <x:c r="D22" s="90"/>
      <x:c r="E22" s="90"/>
      <x:c r="F22" s="90"/>
      <x:c r="G22" s="90"/>
      <x:c r="H22" s="90"/>
      <x:c r="I22" s="90"/>
      <x:c r="J22" s="90"/>
    </x:row>
    <x:row r="23" s="25" customFormat="1" ht="22" customHeight="1">
      <x:c r="A23" s="250" t="str">
        <x:v>WORKBOOK TIPS</x:v>
      </x:c>
      <x:c r="B23" s="250"/>
      <x:c r="C23" s="90"/>
      <x:c r="D23" s="90"/>
      <x:c r="E23" s="90"/>
      <x:c r="F23" s="90"/>
      <x:c r="G23" s="90"/>
      <x:c r="H23" s="90"/>
      <x:c r="I23" s="90"/>
      <x:c r="J23" s="90"/>
    </x:row>
    <x:row r="24" s="25" customFormat="1" ht="22" customHeight="1">
      <x:c r="A24" s="265" t="str">
        <x:v>Use the Applications tab for row-level review. Filters are enabled on every header, and the first four columns stay frozen while you scroll. Raw scraped fields remain available to the right.</x:v>
      </x:c>
      <x:c r="B24" s="266"/>
      <x:c r="C24" s="90"/>
      <x:c r="D24" s="90"/>
      <x:c r="E24" s="90"/>
      <x:c r="F24" s="90"/>
      <x:c r="G24" s="90"/>
      <x:c r="H24" s="90"/>
      <x:c r="I24" s="90"/>
      <x:c r="J24" s="90"/>
    </x:row>
    <x:row r="25" s="25" customFormat="1" ht="22" customHeight="1">
      <x:c r="A25" s="267"/>
      <x:c r="B25" s="268"/>
      <x:c r="C25" s="90"/>
      <x:c r="D25" s="90"/>
      <x:c r="E25" s="90"/>
      <x:c r="F25" s="90"/>
      <x:c r="G25" s="90"/>
      <x:c r="H25" s="90"/>
      <x:c r="I25" s="90"/>
      <x:c r="J25" s="90"/>
    </x:row>
    <x:row r="26" s="25" customFormat="1" ht="22" customHeight="1">
      <x:c r="A26" s="267"/>
      <x:c r="B26" s="268"/>
      <x:c r="C26" s="90"/>
      <x:c r="D26" s="90"/>
      <x:c r="E26" s="90"/>
      <x:c r="F26" s="90"/>
      <x:c r="G26" s="90"/>
      <x:c r="H26" s="90"/>
      <x:c r="I26" s="90"/>
      <x:c r="J26" s="90"/>
    </x:row>
    <x:row r="27" s="25" customFormat="1" ht="22" customHeight="1">
      <x:c r="A27" s="267"/>
      <x:c r="B27" s="268"/>
      <x:c r="C27" s="90"/>
      <x:c r="D27" s="90"/>
      <x:c r="E27" s="90"/>
      <x:c r="F27" s="90"/>
      <x:c r="G27" s="90"/>
      <x:c r="H27" s="90"/>
      <x:c r="I27" s="90"/>
      <x:c r="J27" s="90"/>
    </x:row>
    <x:row r="28" s="25" customFormat="1" ht="22" customHeight="1">
      <x:c r="A28" s="269"/>
      <x:c r="B28" s="270"/>
      <x:c r="C28" s="90"/>
      <x:c r="D28" s="90"/>
      <x:c r="E28" s="90"/>
      <x:c r="F28" s="90"/>
      <x:c r="G28" s="90"/>
      <x:c r="H28" s="90"/>
      <x:c r="I28" s="90"/>
      <x:c r="J28" s="90"/>
    </x:row>
    <x:row r="29" s="25" customFormat="1" ht="22" customHeight="1">
      <x:c r="A29" s="90"/>
      <x:c r="B29" s="90"/>
      <x:c r="C29" s="90"/>
      <x:c r="D29" s="90"/>
      <x:c r="E29" s="90"/>
      <x:c r="F29" s="90"/>
      <x:c r="G29" s="90"/>
      <x:c r="H29" s="90"/>
      <x:c r="I29" s="90"/>
      <x:c r="J29" s="90"/>
    </x:row>
    <x:row r="30" s="25" customFormat="1" ht="22" customHeight="1">
      <x:c r="A30" s="90"/>
      <x:c r="B30" s="90"/>
      <x:c r="C30" s="90"/>
      <x:c r="D30" s="90"/>
      <x:c r="E30" s="90"/>
      <x:c r="F30" s="90"/>
      <x:c r="G30" s="90"/>
      <x:c r="H30" s="90"/>
      <x:c r="I30" s="90"/>
      <x:c r="J30" s="90"/>
    </x:row>
  </x:sheetData>
  <x:mergeCells>
    <x:mergeCell ref="A1:J2"/>
    <x:mergeCell ref="D10:E10"/>
    <x:mergeCell ref="G6:H7"/>
    <x:mergeCell ref="A24:B28"/>
    <x:mergeCell ref="G10:H10"/>
    <x:mergeCell ref="I6:J7"/>
    <x:mergeCell ref="A5:B5"/>
    <x:mergeCell ref="G5:H5"/>
    <x:mergeCell ref="A11:B12"/>
    <x:mergeCell ref="D6:E7"/>
    <x:mergeCell ref="I5:J5"/>
    <x:mergeCell ref="G11:H12"/>
    <x:mergeCell ref="I11:J12"/>
    <x:mergeCell ref="A23:B23"/>
    <x:mergeCell ref="I10:J10"/>
    <x:mergeCell ref="D5:E5"/>
    <x:mergeCell ref="A3:J3"/>
    <x:mergeCell ref="A6:B7"/>
    <x:mergeCell ref="A10:B10"/>
    <x:mergeCell ref="D11:E12"/>
  </x:mergeCells>
  <x:pageMargins left="0.7" right="0.7" top="0.75" bottom="0.75" header="0.3" footer="0.3"/>
  <x:drawing xmlns:r="http://schemas.openxmlformats.org/officeDocument/2006/relationships" r:id="Rae5bc819f1f149bb"/>
</x:worksheet>
</file>